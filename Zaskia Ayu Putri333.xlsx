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480" yWindow="30" windowWidth="22995" windowHeight="10050"/>
  </bookViews>
  <sheets>
    <sheet name="Sheet1" sheetId="1" r:id="rId1"/>
    <sheet name="Sheet2" sheetId="2" r:id="rId2"/>
    <sheet name="Sheet3" sheetId="3" r:id="rId3"/>
  </sheets>
  <calcPr calcId="144525"/>
</workbook>
</file>

<file path=xl/calcChain.xml><?xml version="1.0" encoding="utf-8"?>
<calcChain xmlns="http://schemas.openxmlformats.org/spreadsheetml/2006/main">
  <c r="J11" i="1" l="1"/>
  <c r="J12" i="1"/>
  <c r="J13" i="1"/>
  <c r="J14" i="1"/>
  <c r="J15" i="1"/>
  <c r="J16" i="1"/>
  <c r="J17" i="1"/>
  <c r="J18" i="1"/>
  <c r="J19" i="1"/>
  <c r="I11" i="1"/>
  <c r="I12" i="1"/>
  <c r="I13" i="1"/>
  <c r="I14" i="1"/>
  <c r="I15" i="1"/>
  <c r="I16" i="1"/>
  <c r="I17" i="1"/>
  <c r="I18" i="1"/>
  <c r="I19" i="1"/>
  <c r="H11" i="1"/>
  <c r="H12" i="1"/>
  <c r="H13" i="1"/>
  <c r="H14" i="1"/>
  <c r="H15" i="1"/>
  <c r="H16" i="1"/>
  <c r="H17" i="1"/>
  <c r="H18" i="1"/>
  <c r="H19" i="1"/>
  <c r="G11" i="1"/>
  <c r="G12" i="1"/>
  <c r="G13" i="1"/>
  <c r="G14" i="1"/>
  <c r="G15" i="1"/>
  <c r="G16" i="1"/>
  <c r="G17" i="1"/>
  <c r="G18" i="1"/>
  <c r="G19" i="1"/>
  <c r="F11" i="1"/>
  <c r="F12" i="1"/>
  <c r="F13" i="1"/>
  <c r="F14" i="1"/>
  <c r="F15" i="1"/>
  <c r="F16" i="1"/>
  <c r="F17" i="1"/>
  <c r="F18" i="1"/>
  <c r="F19" i="1"/>
  <c r="E11" i="1"/>
  <c r="E12" i="1"/>
  <c r="E13" i="1"/>
  <c r="E14" i="1"/>
  <c r="E15" i="1"/>
  <c r="E16" i="1"/>
  <c r="E17" i="1"/>
  <c r="E18" i="1"/>
  <c r="E19" i="1"/>
  <c r="I10" i="1"/>
  <c r="G10" i="1"/>
  <c r="F10" i="1"/>
  <c r="H10" i="1" s="1"/>
  <c r="E10" i="1"/>
  <c r="J10" i="1" l="1"/>
</calcChain>
</file>

<file path=xl/sharedStrings.xml><?xml version="1.0" encoding="utf-8"?>
<sst xmlns="http://schemas.openxmlformats.org/spreadsheetml/2006/main" count="61" uniqueCount="57">
  <si>
    <t>NIM</t>
  </si>
  <si>
    <t>Kode Mahasiswa</t>
  </si>
  <si>
    <t>Nama Mahasiswa</t>
  </si>
  <si>
    <t>Jurusan</t>
  </si>
  <si>
    <t>Jumlah SKS</t>
  </si>
  <si>
    <t>Biaya Per SKS</t>
  </si>
  <si>
    <t>Jumlah Biaya SKS</t>
  </si>
  <si>
    <t>SPP</t>
  </si>
  <si>
    <t>Total Biaya Pendidikan</t>
  </si>
  <si>
    <t>04-05-001</t>
  </si>
  <si>
    <t>04-05-002</t>
  </si>
  <si>
    <t>04-05-003</t>
  </si>
  <si>
    <t>04-05-004</t>
  </si>
  <si>
    <t>04-05-005</t>
  </si>
  <si>
    <t>04-05-006</t>
  </si>
  <si>
    <t>04-05-007</t>
  </si>
  <si>
    <t>04-05-008</t>
  </si>
  <si>
    <t>04-05-009</t>
  </si>
  <si>
    <t>04-05-010</t>
  </si>
  <si>
    <t>AK-001-10</t>
  </si>
  <si>
    <t>MI-003-20</t>
  </si>
  <si>
    <t>TK-002-25</t>
  </si>
  <si>
    <t>DK-003-20</t>
  </si>
  <si>
    <t>DP-002-15</t>
  </si>
  <si>
    <t>MI-001-20</t>
  </si>
  <si>
    <t>DK-002-15</t>
  </si>
  <si>
    <t>AK-002-24</t>
  </si>
  <si>
    <t>DP-002-28</t>
  </si>
  <si>
    <t>TK-001-16</t>
  </si>
  <si>
    <t>Sri Ajeng Diana</t>
  </si>
  <si>
    <t>Aini Indah Rini</t>
  </si>
  <si>
    <t>Intan Berliana</t>
  </si>
  <si>
    <t>Retna Andriand</t>
  </si>
  <si>
    <t>Pratiwi</t>
  </si>
  <si>
    <t>Chirtina Aduy Era</t>
  </si>
  <si>
    <t>Laksono Ningrat</t>
  </si>
  <si>
    <t>Mira Lesmana</t>
  </si>
  <si>
    <t>Marini</t>
  </si>
  <si>
    <t>Hasan Pramono</t>
  </si>
  <si>
    <t>Tabel Jurusan Biaya Per SKS</t>
  </si>
  <si>
    <t>Kode MHS</t>
  </si>
  <si>
    <t>001</t>
  </si>
  <si>
    <t>002</t>
  </si>
  <si>
    <t>003</t>
  </si>
  <si>
    <t>AK</t>
  </si>
  <si>
    <t>MI</t>
  </si>
  <si>
    <t>TK</t>
  </si>
  <si>
    <t>DK</t>
  </si>
  <si>
    <t>DP</t>
  </si>
  <si>
    <t>Akuntasi Komputer</t>
  </si>
  <si>
    <t>Manajemen Informatika</t>
  </si>
  <si>
    <t>Teknik Komputer</t>
  </si>
  <si>
    <t>Desain Komunikasi</t>
  </si>
  <si>
    <t>Desain Produk</t>
  </si>
  <si>
    <t>Tabel SPP</t>
  </si>
  <si>
    <t>DAFTAR PENGAMBILAN SKS MAHASISWA SEMESTER GANJIL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</si>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</sst>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8" formatCode="_-[$Rp-3809]* #,##0.00_-;\-[$Rp-3809]* #,##0.00_-;_-[$Rp-3809]* &quot;-&quot;??_-;_-@_-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0" xfId="0" applyFill="1" applyBorder="1" applyAlignment="1">
      <alignment horizontal="center"/>
    </xf>
    <xf numFmtId="0" fontId="1" fillId="0" borderId="1" xfId="0" quotePrefix="1" applyFont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 textRotation="90"/>
    </xf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0" borderId="0" xfId="0" applyFont="1"/>
    <xf numFmtId="168" fontId="0" fillId="0" borderId="1" xfId="0" applyNumberForma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457200</xdr:colOff>
      <xdr:row>1</xdr:row>
      <xdr:rowOff>9525</xdr:rowOff>
    </xdr:from>
    <xdr:ext cx="6296025" cy="968983"/>
    <xdr:sp macro="" textlink="">
      <xdr:nvSpPr>
        <xdr:cNvPr id="2" name="Rectangle 1"/>
        <xdr:cNvSpPr/>
      </xdr:nvSpPr>
      <xdr:spPr>
        <a:xfrm>
          <a:off x="1838325" y="200025"/>
          <a:ext cx="6296025" cy="968983"/>
        </a:xfrm>
        <a:prstGeom prst="rect">
          <a:avLst/>
        </a:prstGeom>
        <a:noFill/>
      </xdr:spPr>
      <xdr:txBody>
        <a:bodyPr wrap="square" lIns="91440" tIns="45720" rIns="91440" bIns="45720">
          <a:spAutoFit/>
        </a:bodyPr>
        <a:lstStyle/>
        <a:p>
          <a:pPr algn="ctr"/>
          <a:r>
            <a:rPr lang="en-US" sz="2800" b="1" cap="none" spc="0">
              <a:ln w="17780" cmpd="sng">
                <a:solidFill>
                  <a:schemeClr val="tx1"/>
                </a:solidFill>
                <a:prstDash val="solid"/>
                <a:miter lim="800000"/>
              </a:ln>
              <a:solidFill>
                <a:schemeClr val="tx1"/>
              </a:solidFill>
              <a:effectLst>
                <a:outerShdw blurRad="50800" algn="tl" rotWithShape="0">
                  <a:srgbClr val="000000"/>
                </a:outerShdw>
              </a:effectLst>
            </a:rPr>
            <a:t>LEMBAGA</a:t>
          </a:r>
          <a:r>
            <a:rPr lang="en-US" sz="2800" b="1" cap="none" spc="0" baseline="0">
              <a:ln w="17780" cmpd="sng">
                <a:solidFill>
                  <a:schemeClr val="tx1"/>
                </a:solidFill>
                <a:prstDash val="solid"/>
                <a:miter lim="800000"/>
              </a:ln>
              <a:solidFill>
                <a:schemeClr val="tx1"/>
              </a:solidFill>
              <a:effectLst>
                <a:outerShdw blurRad="50800" algn="tl" rotWithShape="0">
                  <a:srgbClr val="000000"/>
                </a:outerShdw>
              </a:effectLst>
            </a:rPr>
            <a:t> PENDIDIKAN TINGGI</a:t>
          </a:r>
        </a:p>
        <a:p>
          <a:pPr algn="ctr"/>
          <a:r>
            <a:rPr lang="en-US" sz="2800" b="1" cap="none" spc="0" baseline="0">
              <a:ln w="17780" cmpd="sng">
                <a:solidFill>
                  <a:schemeClr val="tx1"/>
                </a:solidFill>
                <a:prstDash val="solid"/>
                <a:miter lim="800000"/>
              </a:ln>
              <a:solidFill>
                <a:schemeClr val="tx1"/>
              </a:solidFill>
              <a:effectLst>
                <a:outerShdw blurRad="50800" algn="tl" rotWithShape="0">
                  <a:srgbClr val="000000"/>
                </a:outerShdw>
                <a:reflection blurRad="6350" stA="55000" endA="300" endPos="45500" dir="5400000" sy="-100000" algn="bl" rotWithShape="0"/>
              </a:effectLst>
            </a:rPr>
            <a:t>BINA PUTRA MANDIRI</a:t>
          </a:r>
          <a:endParaRPr lang="en-US" sz="2800" b="1" cap="none" spc="0">
            <a:ln w="17780" cmpd="sng">
              <a:solidFill>
                <a:schemeClr val="tx1"/>
              </a:solidFill>
              <a:prstDash val="solid"/>
              <a:miter lim="800000"/>
            </a:ln>
            <a:solidFill>
              <a:schemeClr val="tx1"/>
            </a:solidFill>
            <a:effectLst>
              <a:outerShdw blurRad="50800" algn="tl" rotWithShape="0">
                <a:srgbClr val="000000"/>
              </a:outerShdw>
              <a:reflection blurRad="6350" stA="55000" endA="300" endPos="45500" dir="5400000" sy="-100000" algn="bl" rotWithShape="0"/>
            </a:effectLst>
          </a:endParaRPr>
        </a:p>
      </xdr:txBody>
    </xdr: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7:N28"/>
  <sheetViews>
    <sheetView tabSelected="1" workbookViewId="0">
      <selection activeCell="N14" sqref="N14"/>
    </sheetView>
  </sheetViews>
  <sheetFormatPr defaultRowHeight="15" x14ac:dyDescent="0.25"/>
  <cols>
    <col min="2" max="2" width="11.5703125" customWidth="1"/>
    <col min="3" max="3" width="17.42578125" customWidth="1"/>
    <col min="4" max="4" width="21.7109375" customWidth="1"/>
    <col min="5" max="5" width="22.42578125" customWidth="1"/>
    <col min="6" max="6" width="7.85546875" customWidth="1"/>
    <col min="7" max="7" width="14.85546875" customWidth="1"/>
    <col min="8" max="8" width="17.5703125" customWidth="1"/>
    <col min="9" max="9" width="17.42578125" customWidth="1"/>
    <col min="10" max="10" width="17.5703125" customWidth="1"/>
  </cols>
  <sheetData>
    <row r="7" spans="2:14" x14ac:dyDescent="0.25">
      <c r="B7" s="10" t="s">
        <v>55</v>
      </c>
      <c r="C7" s="10"/>
      <c r="D7" s="10"/>
    </row>
    <row r="9" spans="2:14" ht="30" x14ac:dyDescent="0.25">
      <c r="B9" s="7" t="s">
        <v>0</v>
      </c>
      <c r="C9" s="8" t="s">
        <v>1</v>
      </c>
      <c r="D9" s="8" t="s">
        <v>2</v>
      </c>
      <c r="E9" s="8" t="s">
        <v>3</v>
      </c>
      <c r="F9" s="9" t="s">
        <v>4</v>
      </c>
      <c r="G9" s="8" t="s">
        <v>5</v>
      </c>
      <c r="H9" s="9" t="s">
        <v>6</v>
      </c>
      <c r="I9" s="8" t="s">
        <v>7</v>
      </c>
      <c r="J9" s="9" t="s">
        <v>8</v>
      </c>
    </row>
    <row r="10" spans="2:14" x14ac:dyDescent="0.25">
      <c r="B10" s="2" t="s">
        <v>9</v>
      </c>
      <c r="C10" s="3" t="s">
        <v>19</v>
      </c>
      <c r="D10" s="1" t="s">
        <v>29</v>
      </c>
      <c r="E10" s="3" t="str">
        <f>VLOOKUP(LEFT(C10,2),$C$23:$E$28,2,0)</f>
        <v>Akuntasi Komputer</v>
      </c>
      <c r="F10" s="3" t="str">
        <f>RIGHT(C10,2)</f>
        <v>10</v>
      </c>
      <c r="G10" s="11">
        <f>VLOOKUP(LEFT(C10,2),$C$23:$E$28,3,0)</f>
        <v>25000</v>
      </c>
      <c r="H10" s="11">
        <f>F10*G10</f>
        <v>250000</v>
      </c>
      <c r="I10" s="11">
        <f>HLOOKUP(MID(C10,4,3),$G$23:$J$24,2,0)</f>
        <v>750000</v>
      </c>
      <c r="J10" s="11">
        <f>SUM(F10*G10)</f>
        <v>250000</v>
      </c>
    </row>
    <row r="11" spans="2:14" x14ac:dyDescent="0.25">
      <c r="B11" s="2" t="s">
        <v>10</v>
      </c>
      <c r="C11" s="3" t="s">
        <v>20</v>
      </c>
      <c r="D11" s="1" t="s">
        <v>30</v>
      </c>
      <c r="E11" s="3" t="str">
        <f t="shared" ref="E11:E19" si="0">VLOOKUP(LEFT(C11,2),$C$23:$E$28,2,0)</f>
        <v>Manajemen Informatika</v>
      </c>
      <c r="F11" s="3" t="str">
        <f t="shared" ref="F11:F19" si="1">RIGHT(C11,2)</f>
        <v>20</v>
      </c>
      <c r="G11" s="11">
        <f t="shared" ref="G11:G19" si="2">VLOOKUP(LEFT(C11,2),$C$23:$E$28,3,0)</f>
        <v>20000</v>
      </c>
      <c r="H11" s="11">
        <f t="shared" ref="H11:H19" si="3">F11*G11</f>
        <v>400000</v>
      </c>
      <c r="I11" s="11">
        <f t="shared" ref="I11:I19" si="4">HLOOKUP(MID(C11,4,3),$G$23:$J$24,2,0)</f>
        <v>150000</v>
      </c>
      <c r="J11" s="11">
        <f t="shared" ref="J11:J19" si="5">SUM(F11*G11)</f>
        <v>400000</v>
      </c>
    </row>
    <row r="12" spans="2:14" x14ac:dyDescent="0.25">
      <c r="B12" s="2" t="s">
        <v>11</v>
      </c>
      <c r="C12" s="3" t="s">
        <v>21</v>
      </c>
      <c r="D12" s="1" t="s">
        <v>31</v>
      </c>
      <c r="E12" s="3" t="str">
        <f t="shared" si="0"/>
        <v>Teknik Komputer</v>
      </c>
      <c r="F12" s="3" t="str">
        <f t="shared" si="1"/>
        <v>25</v>
      </c>
      <c r="G12" s="11">
        <f t="shared" si="2"/>
        <v>15000</v>
      </c>
      <c r="H12" s="11">
        <f t="shared" si="3"/>
        <v>375000</v>
      </c>
      <c r="I12" s="11">
        <f t="shared" si="4"/>
        <v>1000000</v>
      </c>
      <c r="J12" s="11">
        <f t="shared" si="5"/>
        <v>375000</v>
      </c>
    </row>
    <row r="13" spans="2:14" x14ac:dyDescent="0.25">
      <c r="B13" s="2" t="s">
        <v>12</v>
      </c>
      <c r="C13" s="3" t="s">
        <v>22</v>
      </c>
      <c r="D13" s="1" t="s">
        <v>32</v>
      </c>
      <c r="E13" s="3" t="str">
        <f t="shared" si="0"/>
        <v>Desain Komunikasi</v>
      </c>
      <c r="F13" s="3" t="str">
        <f t="shared" si="1"/>
        <v>20</v>
      </c>
      <c r="G13" s="11">
        <f t="shared" si="2"/>
        <v>20000</v>
      </c>
      <c r="H13" s="11">
        <f t="shared" si="3"/>
        <v>400000</v>
      </c>
      <c r="I13" s="11">
        <f t="shared" si="4"/>
        <v>150000</v>
      </c>
      <c r="J13" s="11">
        <f t="shared" si="5"/>
        <v>400000</v>
      </c>
    </row>
    <row r="14" spans="2:14" x14ac:dyDescent="0.25">
      <c r="B14" s="2" t="s">
        <v>13</v>
      </c>
      <c r="C14" s="3" t="s">
        <v>23</v>
      </c>
      <c r="D14" s="1" t="s">
        <v>33</v>
      </c>
      <c r="E14" s="3" t="str">
        <f t="shared" si="0"/>
        <v>Desain Produk</v>
      </c>
      <c r="F14" s="3" t="str">
        <f t="shared" si="1"/>
        <v>15</v>
      </c>
      <c r="G14" s="11">
        <f t="shared" si="2"/>
        <v>12000</v>
      </c>
      <c r="H14" s="11">
        <f t="shared" si="3"/>
        <v>180000</v>
      </c>
      <c r="I14" s="11">
        <f t="shared" si="4"/>
        <v>1000000</v>
      </c>
      <c r="J14" s="11">
        <f t="shared" si="5"/>
        <v>180000</v>
      </c>
      <c r="N14" t="s">
        <v>56</v>
      </c>
    </row>
    <row r="15" spans="2:14" x14ac:dyDescent="0.25">
      <c r="B15" s="2" t="s">
        <v>14</v>
      </c>
      <c r="C15" s="3" t="s">
        <v>24</v>
      </c>
      <c r="D15" s="1" t="s">
        <v>34</v>
      </c>
      <c r="E15" s="3" t="str">
        <f t="shared" si="0"/>
        <v>Manajemen Informatika</v>
      </c>
      <c r="F15" s="3" t="str">
        <f t="shared" si="1"/>
        <v>20</v>
      </c>
      <c r="G15" s="11">
        <f t="shared" si="2"/>
        <v>20000</v>
      </c>
      <c r="H15" s="11">
        <f t="shared" si="3"/>
        <v>400000</v>
      </c>
      <c r="I15" s="11">
        <f t="shared" si="4"/>
        <v>750000</v>
      </c>
      <c r="J15" s="11">
        <f t="shared" si="5"/>
        <v>400000</v>
      </c>
    </row>
    <row r="16" spans="2:14" x14ac:dyDescent="0.25">
      <c r="B16" s="2" t="s">
        <v>15</v>
      </c>
      <c r="C16" s="3" t="s">
        <v>25</v>
      </c>
      <c r="D16" s="1" t="s">
        <v>35</v>
      </c>
      <c r="E16" s="3" t="str">
        <f t="shared" si="0"/>
        <v>Desain Komunikasi</v>
      </c>
      <c r="F16" s="3" t="str">
        <f t="shared" si="1"/>
        <v>15</v>
      </c>
      <c r="G16" s="11">
        <f t="shared" si="2"/>
        <v>20000</v>
      </c>
      <c r="H16" s="11">
        <f t="shared" si="3"/>
        <v>300000</v>
      </c>
      <c r="I16" s="11">
        <f t="shared" si="4"/>
        <v>1000000</v>
      </c>
      <c r="J16" s="11">
        <f t="shared" si="5"/>
        <v>300000</v>
      </c>
    </row>
    <row r="17" spans="2:10" x14ac:dyDescent="0.25">
      <c r="B17" s="2" t="s">
        <v>16</v>
      </c>
      <c r="C17" s="3" t="s">
        <v>26</v>
      </c>
      <c r="D17" s="1" t="s">
        <v>37</v>
      </c>
      <c r="E17" s="3" t="str">
        <f t="shared" si="0"/>
        <v>Akuntasi Komputer</v>
      </c>
      <c r="F17" s="3" t="str">
        <f t="shared" si="1"/>
        <v>24</v>
      </c>
      <c r="G17" s="11">
        <f t="shared" si="2"/>
        <v>25000</v>
      </c>
      <c r="H17" s="11">
        <f t="shared" si="3"/>
        <v>600000</v>
      </c>
      <c r="I17" s="11">
        <f t="shared" si="4"/>
        <v>1000000</v>
      </c>
      <c r="J17" s="11">
        <f t="shared" si="5"/>
        <v>600000</v>
      </c>
    </row>
    <row r="18" spans="2:10" x14ac:dyDescent="0.25">
      <c r="B18" s="2" t="s">
        <v>17</v>
      </c>
      <c r="C18" s="3" t="s">
        <v>27</v>
      </c>
      <c r="D18" s="1" t="s">
        <v>36</v>
      </c>
      <c r="E18" s="3" t="str">
        <f t="shared" si="0"/>
        <v>Desain Produk</v>
      </c>
      <c r="F18" s="3" t="str">
        <f t="shared" si="1"/>
        <v>28</v>
      </c>
      <c r="G18" s="11">
        <f t="shared" si="2"/>
        <v>12000</v>
      </c>
      <c r="H18" s="11">
        <f t="shared" si="3"/>
        <v>336000</v>
      </c>
      <c r="I18" s="11">
        <f t="shared" si="4"/>
        <v>1000000</v>
      </c>
      <c r="J18" s="11">
        <f t="shared" si="5"/>
        <v>336000</v>
      </c>
    </row>
    <row r="19" spans="2:10" x14ac:dyDescent="0.25">
      <c r="B19" s="2" t="s">
        <v>18</v>
      </c>
      <c r="C19" s="3" t="s">
        <v>28</v>
      </c>
      <c r="D19" s="1" t="s">
        <v>38</v>
      </c>
      <c r="E19" s="3" t="str">
        <f t="shared" si="0"/>
        <v>Teknik Komputer</v>
      </c>
      <c r="F19" s="3" t="str">
        <f t="shared" si="1"/>
        <v>16</v>
      </c>
      <c r="G19" s="11">
        <f t="shared" si="2"/>
        <v>15000</v>
      </c>
      <c r="H19" s="11">
        <f t="shared" si="3"/>
        <v>240000</v>
      </c>
      <c r="I19" s="11">
        <f t="shared" si="4"/>
        <v>750000</v>
      </c>
      <c r="J19" s="11">
        <f t="shared" si="5"/>
        <v>240000</v>
      </c>
    </row>
    <row r="22" spans="2:10" x14ac:dyDescent="0.25">
      <c r="B22" s="4" t="s">
        <v>39</v>
      </c>
      <c r="C22" s="4"/>
      <c r="D22" s="4"/>
      <c r="G22" t="s">
        <v>54</v>
      </c>
    </row>
    <row r="23" spans="2:10" x14ac:dyDescent="0.25">
      <c r="C23" s="6" t="s">
        <v>1</v>
      </c>
      <c r="D23" s="6" t="s">
        <v>3</v>
      </c>
      <c r="E23" s="6" t="s">
        <v>5</v>
      </c>
      <c r="G23" s="6" t="s">
        <v>40</v>
      </c>
      <c r="H23" s="5" t="s">
        <v>41</v>
      </c>
      <c r="I23" s="5" t="s">
        <v>42</v>
      </c>
      <c r="J23" s="5" t="s">
        <v>43</v>
      </c>
    </row>
    <row r="24" spans="2:10" x14ac:dyDescent="0.25">
      <c r="C24" s="3" t="s">
        <v>44</v>
      </c>
      <c r="D24" s="3" t="s">
        <v>49</v>
      </c>
      <c r="E24" s="3">
        <v>25000</v>
      </c>
      <c r="G24" s="6" t="s">
        <v>7</v>
      </c>
      <c r="H24" s="3">
        <v>750000</v>
      </c>
      <c r="I24" s="3">
        <v>1000000</v>
      </c>
      <c r="J24" s="3">
        <v>150000</v>
      </c>
    </row>
    <row r="25" spans="2:10" x14ac:dyDescent="0.25">
      <c r="C25" s="3" t="s">
        <v>45</v>
      </c>
      <c r="D25" s="3" t="s">
        <v>50</v>
      </c>
      <c r="E25" s="3">
        <v>20000</v>
      </c>
    </row>
    <row r="26" spans="2:10" x14ac:dyDescent="0.25">
      <c r="C26" s="3" t="s">
        <v>46</v>
      </c>
      <c r="D26" s="3" t="s">
        <v>51</v>
      </c>
      <c r="E26" s="3">
        <v>15000</v>
      </c>
    </row>
    <row r="27" spans="2:10" x14ac:dyDescent="0.25">
      <c r="C27" s="3" t="s">
        <v>47</v>
      </c>
      <c r="D27" s="3" t="s">
        <v>52</v>
      </c>
      <c r="E27" s="3">
        <v>20000</v>
      </c>
    </row>
    <row r="28" spans="2:10" x14ac:dyDescent="0.25">
      <c r="C28" s="3" t="s">
        <v>48</v>
      </c>
      <c r="D28" s="3" t="s">
        <v>53</v>
      </c>
      <c r="E28" s="3">
        <v>12000</v>
      </c>
    </row>
  </sheetData>
  <mergeCells count="1">
    <mergeCell ref="B22:D22"/>
  </mergeCells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home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ismail - [2010]</dc:creator>
  <cp:lastModifiedBy>ismail - [2010]</cp:lastModifiedBy>
  <dcterms:created xsi:type="dcterms:W3CDTF">2026-10-24T04:36:18Z</dcterms:created>
  <dcterms:modified xsi:type="dcterms:W3CDTF">2026-10-24T06:44:39Z</dcterms:modified>
</cp:coreProperties>
</file>