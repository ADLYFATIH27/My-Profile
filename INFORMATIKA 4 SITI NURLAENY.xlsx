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28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9" i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9" i="1"/>
  <c r="H9" i="1" s="1"/>
  <c r="H26" i="1" s="1"/>
  <c r="H27" i="1" l="1"/>
  <c r="I18" i="1"/>
  <c r="I21" i="1"/>
  <c r="I17" i="1"/>
  <c r="I13" i="1"/>
  <c r="I24" i="1"/>
  <c r="I20" i="1"/>
  <c r="I16" i="1"/>
  <c r="I12" i="1"/>
  <c r="I23" i="1"/>
  <c r="I19" i="1"/>
  <c r="I15" i="1"/>
  <c r="I11" i="1"/>
  <c r="I22" i="1"/>
  <c r="I14" i="1"/>
  <c r="I10" i="1"/>
  <c r="I9" i="1"/>
</calcChain>
</file>

<file path=xl/sharedStrings.xml><?xml version="1.0" encoding="utf-8"?>
<sst xmlns="http://schemas.openxmlformats.org/spreadsheetml/2006/main" count="27" uniqueCount="25">
  <si>
    <t xml:space="preserve"> No</t>
  </si>
  <si>
    <t>NAMA PEGAWAI</t>
  </si>
  <si>
    <t>TANGGAL LAHIR</t>
  </si>
  <si>
    <t>TANGGAL MASUK</t>
  </si>
  <si>
    <t>HARI INI</t>
  </si>
  <si>
    <t>JAM SEKARANG</t>
  </si>
  <si>
    <t>UMUR</t>
  </si>
  <si>
    <t>MASA KERJA</t>
  </si>
  <si>
    <t>Andi Pratama</t>
  </si>
  <si>
    <t>Siti Aminah</t>
  </si>
  <si>
    <t>Budi Santoso</t>
  </si>
  <si>
    <t>Karina Putri</t>
  </si>
  <si>
    <t>Aisyaj Maharani</t>
  </si>
  <si>
    <t>Nayla Mahaswara</t>
  </si>
  <si>
    <t>Kayla Putri</t>
  </si>
  <si>
    <t xml:space="preserve">Rangga Putra Pratama </t>
  </si>
  <si>
    <t>Reno aditya putra</t>
  </si>
  <si>
    <t>Reza Putra Malik</t>
  </si>
  <si>
    <t>Ananda Putri Azahra</t>
  </si>
  <si>
    <t>Azizah</t>
  </si>
  <si>
    <t>Aisyah Maharani</t>
  </si>
  <si>
    <t>Kevin Wijaya</t>
  </si>
  <si>
    <t>Rata-rata umur</t>
  </si>
  <si>
    <t>Umum Maksimum</t>
  </si>
  <si>
    <t>Jumlah 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</si>
</sst>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/dd/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0</xdr:row>
      <xdr:rowOff>57149</xdr:rowOff>
    </xdr:from>
    <xdr:to>
      <xdr:col>4</xdr:col>
      <xdr:colOff>666750</xdr:colOff>
      <xdr:row>4</xdr:row>
      <xdr:rowOff>123824</xdr:rowOff>
    </xdr:to>
    <xdr:sp macro="" textlink="">
      <xdr:nvSpPr>
        <xdr:cNvPr id="4" name="Rounded Rectangle 3"/>
        <xdr:cNvSpPr/>
      </xdr:nvSpPr>
      <xdr:spPr>
        <a:xfrm>
          <a:off x="1371599" y="57149"/>
          <a:ext cx="2924176" cy="828675"/>
        </a:xfrm>
        <a:prstGeom prst="roundRect">
          <a:avLst/>
        </a:prstGeom>
        <a:solidFill>
          <a:schemeClr val="accent6"/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Times New Roman" pitchFamily="18" charset="0"/>
              <a:cs typeface="Times New Roman" pitchFamily="18" charset="0"/>
            </a:rPr>
            <a:t>LAPORAN DATA PEGAWAI PT.NUSANTARA</a:t>
          </a:r>
          <a:r>
            <a:rPr lang="en-US" sz="1100" b="1" baseline="0">
              <a:latin typeface="Times New Roman" pitchFamily="18" charset="0"/>
              <a:cs typeface="Times New Roman" pitchFamily="18" charset="0"/>
            </a:rPr>
            <a:t> TEKNOLOGI SEJAHTERA PERIODE SEPTEMBER</a:t>
          </a:r>
          <a:endParaRPr lang="en-US" sz="11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29"/>
  <sheetViews>
    <sheetView tabSelected="1" zoomScale="80" zoomScaleNormal="80" workbookViewId="0">
      <selection activeCell="M26" sqref="M26"/>
    </sheetView>
  </sheetViews>
  <sheetFormatPr defaultRowHeight="15" x14ac:dyDescent="0.25"/>
  <cols>
    <col min="3" max="3" width="20.28515625" style="1" customWidth="1"/>
    <col min="4" max="4" width="15.85546875" customWidth="1"/>
    <col min="5" max="5" width="18" customWidth="1"/>
    <col min="6" max="6" width="13.85546875" customWidth="1"/>
    <col min="7" max="7" width="17.28515625" customWidth="1"/>
    <col min="8" max="8" width="15.28515625" customWidth="1"/>
    <col min="9" max="9" width="22" customWidth="1"/>
  </cols>
  <sheetData>
    <row r="6" spans="2:9" ht="15.75" thickBot="1" x14ac:dyDescent="0.3"/>
    <row r="7" spans="2:9" ht="15.75" thickTop="1" x14ac:dyDescent="0.25">
      <c r="B7" s="9" t="s">
        <v>0</v>
      </c>
      <c r="C7" s="10" t="s">
        <v>1</v>
      </c>
      <c r="D7" s="10" t="s">
        <v>2</v>
      </c>
      <c r="E7" s="10" t="s">
        <v>3</v>
      </c>
      <c r="F7" s="10" t="s">
        <v>4</v>
      </c>
      <c r="G7" s="10" t="s">
        <v>5</v>
      </c>
      <c r="H7" s="10" t="s">
        <v>6</v>
      </c>
      <c r="I7" s="11" t="s">
        <v>7</v>
      </c>
    </row>
    <row r="8" spans="2:9" x14ac:dyDescent="0.25">
      <c r="B8" s="12"/>
      <c r="C8" s="13"/>
      <c r="D8" s="13"/>
      <c r="E8" s="13"/>
      <c r="F8" s="13"/>
      <c r="G8" s="13"/>
      <c r="H8" s="13"/>
      <c r="I8" s="14"/>
    </row>
    <row r="9" spans="2:9" x14ac:dyDescent="0.25">
      <c r="B9" s="4">
        <v>1</v>
      </c>
      <c r="C9" s="2" t="s">
        <v>8</v>
      </c>
      <c r="D9" s="3">
        <v>34773</v>
      </c>
      <c r="E9" s="3">
        <v>42186</v>
      </c>
      <c r="F9" s="3">
        <f ca="1">TODAY()</f>
        <v>46291</v>
      </c>
      <c r="G9" s="23">
        <f ca="1">NOW()</f>
        <v>46291.028624189814</v>
      </c>
      <c r="H9" s="2">
        <f ca="1">DATEDIF(D9,F9,"Y")</f>
        <v>31</v>
      </c>
      <c r="I9" s="5" t="str">
        <f ca="1">DATEDIF(E9,F9,"Y") &amp; " TAHUN " &amp; DATEDIF(E9,F9,"YM") &amp; " BULAN "</f>
        <v xml:space="preserve">11 TAHUN 2 BULAN </v>
      </c>
    </row>
    <row r="10" spans="2:9" x14ac:dyDescent="0.25">
      <c r="B10" s="4">
        <v>2</v>
      </c>
      <c r="C10" s="2" t="s">
        <v>9</v>
      </c>
      <c r="D10" s="3">
        <v>33166</v>
      </c>
      <c r="E10" s="3">
        <v>40308</v>
      </c>
      <c r="F10" s="3">
        <f t="shared" ref="F10:F24" ca="1" si="0">TODAY()</f>
        <v>46291</v>
      </c>
      <c r="G10" s="23">
        <f t="shared" ref="G10:G24" ca="1" si="1">NOW()</f>
        <v>46291.028624189814</v>
      </c>
      <c r="H10" s="2">
        <f ca="1">DATEDIF(D10,F10,"Y")</f>
        <v>35</v>
      </c>
      <c r="I10" s="5" t="str">
        <f t="shared" ref="I10:I24" ca="1" si="2">DATEDIF(E10,F10,"Y") &amp; " TAHUN " &amp; DATEDIF(E10,F10,"YM") &amp; " BULAN "</f>
        <v xml:space="preserve">16 TAHUN 4 BULAN </v>
      </c>
    </row>
    <row r="11" spans="2:9" x14ac:dyDescent="0.25">
      <c r="B11" s="4">
        <v>3</v>
      </c>
      <c r="C11" s="2" t="s">
        <v>10</v>
      </c>
      <c r="D11" s="3">
        <v>31048</v>
      </c>
      <c r="E11" s="3">
        <v>39522</v>
      </c>
      <c r="F11" s="3">
        <f t="shared" ca="1" si="0"/>
        <v>46291</v>
      </c>
      <c r="G11" s="23">
        <f t="shared" ca="1" si="1"/>
        <v>46291.028624189814</v>
      </c>
      <c r="H11" s="2">
        <f t="shared" ref="H11:H24" ca="1" si="3">DATEDIF(D11,F11,"Y")</f>
        <v>41</v>
      </c>
      <c r="I11" s="5" t="str">
        <f t="shared" ca="1" si="2"/>
        <v xml:space="preserve">18 TAHUN 6 BULAN </v>
      </c>
    </row>
    <row r="12" spans="2:9" x14ac:dyDescent="0.25">
      <c r="B12" s="4">
        <v>4</v>
      </c>
      <c r="C12" s="2" t="s">
        <v>11</v>
      </c>
      <c r="D12" s="3">
        <v>36300</v>
      </c>
      <c r="E12" s="3">
        <v>39936</v>
      </c>
      <c r="F12" s="3">
        <f t="shared" ca="1" si="0"/>
        <v>46291</v>
      </c>
      <c r="G12" s="23">
        <f t="shared" ca="1" si="1"/>
        <v>46291.028624189814</v>
      </c>
      <c r="H12" s="2">
        <f t="shared" ca="1" si="3"/>
        <v>27</v>
      </c>
      <c r="I12" s="5" t="str">
        <f t="shared" ca="1" si="2"/>
        <v xml:space="preserve">17 TAHUN 4 BULAN </v>
      </c>
    </row>
    <row r="13" spans="2:9" x14ac:dyDescent="0.25">
      <c r="B13" s="4">
        <v>5</v>
      </c>
      <c r="C13" s="2" t="s">
        <v>12</v>
      </c>
      <c r="D13" s="3">
        <v>36702</v>
      </c>
      <c r="E13" s="3">
        <v>43876</v>
      </c>
      <c r="F13" s="3">
        <f t="shared" ca="1" si="0"/>
        <v>46291</v>
      </c>
      <c r="G13" s="23">
        <f t="shared" ca="1" si="1"/>
        <v>46291.028624189814</v>
      </c>
      <c r="H13" s="2">
        <f t="shared" ca="1" si="3"/>
        <v>26</v>
      </c>
      <c r="I13" s="5" t="str">
        <f t="shared" ca="1" si="2"/>
        <v xml:space="preserve">6 TAHUN 7 BULAN </v>
      </c>
    </row>
    <row r="14" spans="2:9" x14ac:dyDescent="0.25">
      <c r="B14" s="4">
        <v>6</v>
      </c>
      <c r="C14" s="2" t="s">
        <v>13</v>
      </c>
      <c r="D14" s="3">
        <v>37218</v>
      </c>
      <c r="E14" s="3">
        <v>43906</v>
      </c>
      <c r="F14" s="3">
        <f t="shared" ca="1" si="0"/>
        <v>46291</v>
      </c>
      <c r="G14" s="23">
        <f t="shared" ca="1" si="1"/>
        <v>46291.028624189814</v>
      </c>
      <c r="H14" s="2">
        <f ca="1">DATEDIF(D14,F14,"Y")</f>
        <v>24</v>
      </c>
      <c r="I14" s="5" t="str">
        <f t="shared" ca="1" si="2"/>
        <v xml:space="preserve">6 TAHUN 6 BULAN </v>
      </c>
    </row>
    <row r="15" spans="2:9" x14ac:dyDescent="0.25">
      <c r="B15" s="4">
        <v>7</v>
      </c>
      <c r="C15" s="2" t="s">
        <v>14</v>
      </c>
      <c r="D15" s="3">
        <v>37492</v>
      </c>
      <c r="E15" s="3">
        <v>44458</v>
      </c>
      <c r="F15" s="3">
        <f t="shared" ca="1" si="0"/>
        <v>46291</v>
      </c>
      <c r="G15" s="23">
        <f t="shared" ca="1" si="1"/>
        <v>46291.028624189814</v>
      </c>
      <c r="H15" s="2">
        <f t="shared" ca="1" si="3"/>
        <v>24</v>
      </c>
      <c r="I15" s="5" t="str">
        <f t="shared" ca="1" si="2"/>
        <v xml:space="preserve">5 TAHUN 0 BULAN </v>
      </c>
    </row>
    <row r="16" spans="2:9" x14ac:dyDescent="0.25">
      <c r="B16" s="4">
        <v>8</v>
      </c>
      <c r="C16" s="2" t="s">
        <v>15</v>
      </c>
      <c r="D16" s="3">
        <v>35698</v>
      </c>
      <c r="E16" s="24">
        <v>40460</v>
      </c>
      <c r="F16" s="3">
        <f t="shared" ca="1" si="0"/>
        <v>46291</v>
      </c>
      <c r="G16" s="23">
        <f t="shared" ca="1" si="1"/>
        <v>46291.028624189814</v>
      </c>
      <c r="H16" s="2">
        <f t="shared" ca="1" si="3"/>
        <v>29</v>
      </c>
      <c r="I16" s="5" t="str">
        <f t="shared" ca="1" si="2"/>
        <v xml:space="preserve">15 TAHUN 11 BULAN </v>
      </c>
    </row>
    <row r="17" spans="2:9" x14ac:dyDescent="0.25">
      <c r="B17" s="4">
        <v>9</v>
      </c>
      <c r="C17" s="2" t="s">
        <v>16</v>
      </c>
      <c r="D17" s="3">
        <v>37133</v>
      </c>
      <c r="E17" s="3">
        <v>44454</v>
      </c>
      <c r="F17" s="3">
        <f t="shared" ca="1" si="0"/>
        <v>46291</v>
      </c>
      <c r="G17" s="23">
        <f t="shared" ca="1" si="1"/>
        <v>46291.028624189814</v>
      </c>
      <c r="H17" s="2">
        <f t="shared" ca="1" si="3"/>
        <v>25</v>
      </c>
      <c r="I17" s="5" t="str">
        <f t="shared" ca="1" si="2"/>
        <v xml:space="preserve">5 TAHUN 0 BULAN </v>
      </c>
    </row>
    <row r="18" spans="2:9" x14ac:dyDescent="0.25">
      <c r="B18" s="4">
        <v>10</v>
      </c>
      <c r="C18" s="2" t="s">
        <v>17</v>
      </c>
      <c r="D18" s="3">
        <v>37111</v>
      </c>
      <c r="E18" s="24">
        <v>44610</v>
      </c>
      <c r="F18" s="3">
        <f t="shared" ca="1" si="0"/>
        <v>46291</v>
      </c>
      <c r="G18" s="23">
        <f t="shared" ca="1" si="1"/>
        <v>46291.028624189814</v>
      </c>
      <c r="H18" s="2">
        <f t="shared" ca="1" si="3"/>
        <v>25</v>
      </c>
      <c r="I18" s="5" t="str">
        <f ca="1">DATEDIF(E18,F18,"Y") &amp; " TAHUN " &amp; DATEDIF(E18,F18,"YM") &amp; " BULAN "</f>
        <v xml:space="preserve">4 TAHUN 7 BULAN </v>
      </c>
    </row>
    <row r="19" spans="2:9" x14ac:dyDescent="0.25">
      <c r="B19" s="4">
        <v>11</v>
      </c>
      <c r="C19" s="2" t="s">
        <v>18</v>
      </c>
      <c r="D19" s="3">
        <v>36438</v>
      </c>
      <c r="E19" s="3">
        <v>44823</v>
      </c>
      <c r="F19" s="3">
        <f t="shared" ca="1" si="0"/>
        <v>46291</v>
      </c>
      <c r="G19" s="23">
        <f t="shared" ca="1" si="1"/>
        <v>46291.028624189814</v>
      </c>
      <c r="H19" s="2">
        <f t="shared" ca="1" si="3"/>
        <v>26</v>
      </c>
      <c r="I19" s="5" t="str">
        <f t="shared" ca="1" si="2"/>
        <v xml:space="preserve">4 TAHUN 0 BULAN </v>
      </c>
    </row>
    <row r="20" spans="2:9" x14ac:dyDescent="0.25">
      <c r="B20" s="4">
        <v>12</v>
      </c>
      <c r="C20" s="2" t="s">
        <v>19</v>
      </c>
      <c r="D20" s="3">
        <v>38214</v>
      </c>
      <c r="E20" s="3">
        <v>44457</v>
      </c>
      <c r="F20" s="3">
        <f t="shared" ca="1" si="0"/>
        <v>46291</v>
      </c>
      <c r="G20" s="23">
        <f t="shared" ca="1" si="1"/>
        <v>46291.028624189814</v>
      </c>
      <c r="H20" s="2">
        <f t="shared" ca="1" si="3"/>
        <v>22</v>
      </c>
      <c r="I20" s="5" t="str">
        <f t="shared" ca="1" si="2"/>
        <v xml:space="preserve">5 TAHUN 0 BULAN </v>
      </c>
    </row>
    <row r="21" spans="2:9" x14ac:dyDescent="0.25">
      <c r="B21" s="4">
        <v>13</v>
      </c>
      <c r="C21" s="2" t="s">
        <v>20</v>
      </c>
      <c r="D21" s="3">
        <v>36702</v>
      </c>
      <c r="E21" s="3">
        <v>43877</v>
      </c>
      <c r="F21" s="3">
        <f t="shared" ca="1" si="0"/>
        <v>46291</v>
      </c>
      <c r="G21" s="23">
        <f t="shared" ca="1" si="1"/>
        <v>46291.028624189814</v>
      </c>
      <c r="H21" s="2">
        <f t="shared" ca="1" si="3"/>
        <v>26</v>
      </c>
      <c r="I21" s="5" t="str">
        <f t="shared" ca="1" si="2"/>
        <v xml:space="preserve">6 TAHUN 7 BULAN </v>
      </c>
    </row>
    <row r="22" spans="2:9" x14ac:dyDescent="0.25">
      <c r="B22" s="4">
        <v>14</v>
      </c>
      <c r="C22" s="2" t="s">
        <v>15</v>
      </c>
      <c r="D22" s="3">
        <v>35698</v>
      </c>
      <c r="E22" s="3">
        <v>40460</v>
      </c>
      <c r="F22" s="3">
        <f t="shared" ca="1" si="0"/>
        <v>46291</v>
      </c>
      <c r="G22" s="23">
        <f t="shared" ca="1" si="1"/>
        <v>46291.028624189814</v>
      </c>
      <c r="H22" s="2">
        <f t="shared" ca="1" si="3"/>
        <v>29</v>
      </c>
      <c r="I22" s="5" t="str">
        <f t="shared" ca="1" si="2"/>
        <v xml:space="preserve">15 TAHUN 11 BULAN </v>
      </c>
    </row>
    <row r="23" spans="2:9" x14ac:dyDescent="0.25">
      <c r="B23" s="4">
        <v>15</v>
      </c>
      <c r="C23" s="2" t="s">
        <v>16</v>
      </c>
      <c r="D23" s="3">
        <v>37133</v>
      </c>
      <c r="E23" s="3">
        <v>44454</v>
      </c>
      <c r="F23" s="3">
        <f t="shared" ca="1" si="0"/>
        <v>46291</v>
      </c>
      <c r="G23" s="23">
        <f t="shared" ca="1" si="1"/>
        <v>46291.028624189814</v>
      </c>
      <c r="H23" s="2">
        <f t="shared" ca="1" si="3"/>
        <v>25</v>
      </c>
      <c r="I23" s="5" t="str">
        <f t="shared" ca="1" si="2"/>
        <v xml:space="preserve">5 TAHUN 0 BULAN </v>
      </c>
    </row>
    <row r="24" spans="2:9" ht="15.75" thickBot="1" x14ac:dyDescent="0.3">
      <c r="B24" s="6">
        <v>16</v>
      </c>
      <c r="C24" s="7" t="s">
        <v>21</v>
      </c>
      <c r="D24" s="25">
        <v>36210</v>
      </c>
      <c r="E24" s="25">
        <v>44790</v>
      </c>
      <c r="F24" s="3">
        <f t="shared" ca="1" si="0"/>
        <v>46291</v>
      </c>
      <c r="G24" s="23">
        <f t="shared" ca="1" si="1"/>
        <v>46291.028624189814</v>
      </c>
      <c r="H24" s="2">
        <f t="shared" ca="1" si="3"/>
        <v>27</v>
      </c>
      <c r="I24" s="5" t="str">
        <f t="shared" ca="1" si="2"/>
        <v xml:space="preserve">4 TAHUN 1 BULAN </v>
      </c>
    </row>
    <row r="25" spans="2:9" ht="16.5" thickTop="1" thickBot="1" x14ac:dyDescent="0.3"/>
    <row r="26" spans="2:9" ht="15.75" thickTop="1" x14ac:dyDescent="0.25">
      <c r="F26" s="17" t="s">
        <v>22</v>
      </c>
      <c r="G26" s="18"/>
      <c r="H26" s="15">
        <f ca="1">AVERAGE(H9:H24)</f>
        <v>27.625</v>
      </c>
    </row>
    <row r="27" spans="2:9" x14ac:dyDescent="0.25">
      <c r="F27" s="19" t="s">
        <v>23</v>
      </c>
      <c r="G27" s="20"/>
      <c r="H27" s="16">
        <f ca="1">MAX(H9:H24)</f>
        <v>41</v>
      </c>
    </row>
    <row r="28" spans="2:9" ht="15.75" thickBot="1" x14ac:dyDescent="0.3">
      <c r="F28" s="21" t="s">
        <v>24</v>
      </c>
      <c r="G28" s="22"/>
      <c r="H28" s="8">
        <f>COUNTA(C9:C24)</f>
        <v>16</v>
      </c>
    </row>
    <row r="29" spans="2:9" ht="15.75" thickTop="1" x14ac:dyDescent="0.25"/>
  </sheetData>
  <mergeCells count="11">
    <mergeCell ref="H7:H8"/>
    <mergeCell ref="I7:I8"/>
    <mergeCell ref="F26:G26"/>
    <mergeCell ref="F27:G27"/>
    <mergeCell ref="F28:G28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2026-09-26T06:04:28Z</dcterms:created>
  <dcterms:modified xsi:type="dcterms:W3CDTF">2026-09-26T07:46:54Z</dcterms:modified>
</cp:coreProperties>
</file>