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Sheet1" sheetId="1" r:id="rId1"/>
    <sheet name="Sheet1 (2)" sheetId="4" r:id="rId2"/>
  </sheets>
  <calcPr calcId="144525"/>
</workbook>
</file>

<file path=xl/calcChain.xml><?xml version="1.0" encoding="utf-8"?>
<calcChain xmlns="http://schemas.openxmlformats.org/spreadsheetml/2006/main">
  <c r="E22" i="4" l="1"/>
  <c r="E21" i="4"/>
  <c r="E20" i="4"/>
  <c r="E19" i="4"/>
  <c r="E18" i="4"/>
  <c r="E16" i="4"/>
  <c r="E15" i="4"/>
  <c r="E14" i="4"/>
  <c r="E13" i="4"/>
  <c r="E12" i="4"/>
  <c r="E11" i="4"/>
  <c r="E10" i="4"/>
  <c r="E16" i="1" l="1"/>
  <c r="E15" i="1"/>
  <c r="E14" i="1"/>
  <c r="E13" i="1"/>
  <c r="E12" i="1"/>
  <c r="E11" i="1"/>
  <c r="E10" i="1"/>
</calcChain>
</file>

<file path=xl/sharedStrings.xml><?xml version="1.0" encoding="utf-8"?>
<sst xmlns="http://schemas.openxmlformats.org/spreadsheetml/2006/main" count="51" uniqueCount="27">
  <si>
    <t>PERINTIS NUSANTARA COMPUTER</t>
  </si>
  <si>
    <t>JL.Raya Cikabon Parung Panjang, Jawa Barat</t>
  </si>
  <si>
    <t>Telp. (021) 5979403</t>
  </si>
  <si>
    <t>Nomor Order Pembelian :</t>
  </si>
  <si>
    <t>Nomor Permintaan Barang :</t>
  </si>
  <si>
    <t>Kepada Yth,</t>
  </si>
  <si>
    <t>Nomor</t>
  </si>
  <si>
    <t>Nama Barang</t>
  </si>
  <si>
    <t>Jumlah Unit</t>
  </si>
  <si>
    <t>Haga Bayar</t>
  </si>
  <si>
    <t>Bayar</t>
  </si>
  <si>
    <t>Disket</t>
  </si>
  <si>
    <t>Monitor 14</t>
  </si>
  <si>
    <t>Keyboard</t>
  </si>
  <si>
    <t>Mouse</t>
  </si>
  <si>
    <t>Harddisk 20G</t>
  </si>
  <si>
    <t>Printer Cannon 1320</t>
  </si>
  <si>
    <t>Cassing Mini Tower</t>
  </si>
  <si>
    <t>Total Harga</t>
  </si>
  <si>
    <t xml:space="preserve">Harga Tertinggi </t>
  </si>
  <si>
    <t>Harga Terendah</t>
  </si>
  <si>
    <t>Harga Rata-rata</t>
  </si>
  <si>
    <t>Jumlah Barang</t>
  </si>
  <si>
    <t>keterangan</t>
  </si>
  <si>
    <t>…………………………..</t>
  </si>
  <si>
    <t>………………………………</t>
  </si>
  <si>
    <t>Bogor,……………………………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</si>
</sst>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&quot; Unit&quot;"/>
    <numFmt numFmtId="165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Font="1"/>
    <xf numFmtId="0" fontId="0" fillId="0" borderId="0" xfId="0" applyAlignment="1"/>
    <xf numFmtId="0" fontId="0" fillId="0" borderId="1" xfId="0" applyBorder="1"/>
    <xf numFmtId="0" fontId="0" fillId="0" borderId="4" xfId="0" applyBorder="1"/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/>
    <xf numFmtId="165" fontId="0" fillId="0" borderId="0" xfId="0" applyNumberFormat="1"/>
    <xf numFmtId="0" fontId="0" fillId="0" borderId="13" xfId="0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/>
    <xf numFmtId="0" fontId="0" fillId="0" borderId="14" xfId="0" applyBorder="1" applyAlignment="1">
      <alignment horizontal="center"/>
    </xf>
    <xf numFmtId="0" fontId="0" fillId="0" borderId="15" xfId="0" applyBorder="1"/>
    <xf numFmtId="164" fontId="0" fillId="0" borderId="15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6" xfId="0" applyNumberFormat="1" applyBorder="1"/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center"/>
    </xf>
    <xf numFmtId="0" fontId="0" fillId="0" borderId="11" xfId="0" applyBorder="1"/>
    <xf numFmtId="164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12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164" fontId="0" fillId="0" borderId="1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7" workbookViewId="0">
      <selection activeCell="D27" sqref="D27"/>
    </sheetView>
  </sheetViews>
  <sheetFormatPr defaultRowHeight="15" x14ac:dyDescent="0.25"/>
  <cols>
    <col min="1" max="1" width="12.140625" customWidth="1"/>
    <col min="2" max="2" width="26.28515625" customWidth="1"/>
    <col min="3" max="3" width="19.140625" customWidth="1"/>
    <col min="4" max="4" width="16.85546875" customWidth="1"/>
    <col min="5" max="5" width="15.28515625" customWidth="1"/>
  </cols>
  <sheetData>
    <row r="1" spans="1:6" x14ac:dyDescent="0.25">
      <c r="A1" s="1" t="s">
        <v>0</v>
      </c>
    </row>
    <row r="2" spans="1:6" x14ac:dyDescent="0.25">
      <c r="A2" t="s">
        <v>1</v>
      </c>
      <c r="E2" t="s">
        <v>5</v>
      </c>
    </row>
    <row r="3" spans="1:6" x14ac:dyDescent="0.25">
      <c r="A3" t="s">
        <v>2</v>
      </c>
    </row>
    <row r="4" spans="1:6" ht="15.75" thickBot="1" x14ac:dyDescent="0.3">
      <c r="A4" s="4" t="s">
        <v>3</v>
      </c>
      <c r="B4" s="4"/>
      <c r="C4" s="4"/>
      <c r="D4" s="4"/>
    </row>
    <row r="5" spans="1:6" x14ac:dyDescent="0.25">
      <c r="A5" t="s">
        <v>4</v>
      </c>
    </row>
    <row r="6" spans="1:6" ht="15.75" thickBot="1" x14ac:dyDescent="0.3"/>
    <row r="7" spans="1:6" ht="15.75" thickTop="1" x14ac:dyDescent="0.25">
      <c r="A7" s="36" t="s">
        <v>6</v>
      </c>
      <c r="B7" s="38" t="s">
        <v>7</v>
      </c>
      <c r="C7" s="38" t="s">
        <v>8</v>
      </c>
      <c r="D7" s="40" t="s">
        <v>9</v>
      </c>
      <c r="E7" s="42" t="s">
        <v>10</v>
      </c>
    </row>
    <row r="8" spans="1:6" ht="15.75" thickBot="1" x14ac:dyDescent="0.3">
      <c r="A8" s="37"/>
      <c r="B8" s="39"/>
      <c r="C8" s="39"/>
      <c r="D8" s="41"/>
      <c r="E8" s="43"/>
    </row>
    <row r="9" spans="1:6" ht="16.5" thickTop="1" thickBot="1" x14ac:dyDescent="0.3">
      <c r="A9" s="5"/>
      <c r="B9" s="6"/>
      <c r="C9" s="6"/>
      <c r="D9" s="7"/>
      <c r="E9" s="7"/>
    </row>
    <row r="10" spans="1:6" ht="15.75" thickTop="1" x14ac:dyDescent="0.25">
      <c r="A10" s="9">
        <v>1</v>
      </c>
      <c r="B10" s="10" t="s">
        <v>11</v>
      </c>
      <c r="C10" s="11">
        <v>10</v>
      </c>
      <c r="D10" s="12">
        <v>6000</v>
      </c>
      <c r="E10" s="13">
        <f t="shared" ref="E10:E16" si="0">C10*D10</f>
        <v>60000</v>
      </c>
    </row>
    <row r="11" spans="1:6" x14ac:dyDescent="0.25">
      <c r="A11" s="14">
        <v>2</v>
      </c>
      <c r="B11" s="15" t="s">
        <v>12</v>
      </c>
      <c r="C11" s="16">
        <v>15</v>
      </c>
      <c r="D11" s="17">
        <v>800000</v>
      </c>
      <c r="E11" s="18">
        <f t="shared" si="0"/>
        <v>12000000</v>
      </c>
    </row>
    <row r="12" spans="1:6" x14ac:dyDescent="0.25">
      <c r="A12" s="14">
        <v>3</v>
      </c>
      <c r="B12" s="15" t="s">
        <v>13</v>
      </c>
      <c r="C12" s="16">
        <v>20</v>
      </c>
      <c r="D12" s="17">
        <v>10000</v>
      </c>
      <c r="E12" s="18">
        <f t="shared" si="0"/>
        <v>200000</v>
      </c>
    </row>
    <row r="13" spans="1:6" x14ac:dyDescent="0.25">
      <c r="A13" s="14">
        <v>4</v>
      </c>
      <c r="B13" s="19" t="s">
        <v>14</v>
      </c>
      <c r="C13" s="16">
        <v>25</v>
      </c>
      <c r="D13" s="17">
        <v>3000</v>
      </c>
      <c r="E13" s="18">
        <f t="shared" si="0"/>
        <v>75000</v>
      </c>
    </row>
    <row r="14" spans="1:6" x14ac:dyDescent="0.25">
      <c r="A14" s="14">
        <v>5</v>
      </c>
      <c r="B14" s="15" t="s">
        <v>15</v>
      </c>
      <c r="C14" s="16">
        <v>20</v>
      </c>
      <c r="D14" s="17">
        <v>500000</v>
      </c>
      <c r="E14" s="18">
        <f t="shared" si="0"/>
        <v>10000000</v>
      </c>
    </row>
    <row r="15" spans="1:6" x14ac:dyDescent="0.25">
      <c r="A15" s="14">
        <v>6</v>
      </c>
      <c r="B15" s="15" t="s">
        <v>16</v>
      </c>
      <c r="C15" s="16">
        <v>15</v>
      </c>
      <c r="D15" s="17">
        <v>650000</v>
      </c>
      <c r="E15" s="18">
        <f t="shared" si="0"/>
        <v>9750000</v>
      </c>
      <c r="F15" s="8"/>
    </row>
    <row r="16" spans="1:6" ht="15.75" thickBot="1" x14ac:dyDescent="0.3">
      <c r="A16" s="20">
        <v>7</v>
      </c>
      <c r="B16" s="21" t="s">
        <v>17</v>
      </c>
      <c r="C16" s="22">
        <v>10</v>
      </c>
      <c r="D16" s="23">
        <v>1000000</v>
      </c>
      <c r="E16" s="24">
        <f t="shared" si="0"/>
        <v>10000000</v>
      </c>
    </row>
    <row r="17" spans="1:5" ht="15.75" thickTop="1" x14ac:dyDescent="0.25"/>
    <row r="18" spans="1:5" x14ac:dyDescent="0.25">
      <c r="C18" s="34" t="s">
        <v>18</v>
      </c>
      <c r="D18" s="35"/>
      <c r="E18" s="3"/>
    </row>
    <row r="19" spans="1:5" x14ac:dyDescent="0.25">
      <c r="C19" s="34" t="s">
        <v>19</v>
      </c>
      <c r="D19" s="35"/>
      <c r="E19" s="3"/>
    </row>
    <row r="20" spans="1:5" x14ac:dyDescent="0.25">
      <c r="C20" s="34" t="s">
        <v>20</v>
      </c>
      <c r="D20" s="35"/>
      <c r="E20" s="3"/>
    </row>
    <row r="21" spans="1:5" x14ac:dyDescent="0.25">
      <c r="C21" s="34" t="s">
        <v>21</v>
      </c>
      <c r="D21" s="35"/>
      <c r="E21" s="3"/>
    </row>
    <row r="22" spans="1:5" x14ac:dyDescent="0.25">
      <c r="C22" s="34" t="s">
        <v>22</v>
      </c>
      <c r="D22" s="35"/>
      <c r="E22" s="3"/>
    </row>
    <row r="23" spans="1:5" x14ac:dyDescent="0.25">
      <c r="C23" s="2"/>
      <c r="D23" s="2"/>
    </row>
    <row r="24" spans="1:5" ht="15.75" thickBot="1" x14ac:dyDescent="0.3">
      <c r="C24" s="2"/>
      <c r="D24" s="2"/>
    </row>
    <row r="25" spans="1:5" ht="15.75" thickTop="1" x14ac:dyDescent="0.25">
      <c r="A25" s="25" t="s">
        <v>23</v>
      </c>
      <c r="B25" s="26"/>
      <c r="C25" s="26"/>
      <c r="D25" s="26"/>
      <c r="E25" s="27"/>
    </row>
    <row r="26" spans="1:5" x14ac:dyDescent="0.25">
      <c r="A26" s="28"/>
      <c r="B26" s="29"/>
      <c r="C26" s="29"/>
      <c r="D26" s="29"/>
      <c r="E26" s="30"/>
    </row>
    <row r="27" spans="1:5" ht="15.75" thickBot="1" x14ac:dyDescent="0.3">
      <c r="A27" s="31"/>
      <c r="B27" s="32"/>
      <c r="C27" s="32"/>
      <c r="D27" s="32"/>
      <c r="E27" s="33"/>
    </row>
    <row r="28" spans="1:5" ht="15.75" thickTop="1" x14ac:dyDescent="0.25"/>
  </sheetData>
  <mergeCells count="10">
    <mergeCell ref="A7:A8"/>
    <mergeCell ref="B7:B8"/>
    <mergeCell ref="C7:C8"/>
    <mergeCell ref="D7:D8"/>
    <mergeCell ref="E7:E8"/>
    <mergeCell ref="C18:D18"/>
    <mergeCell ref="C19:D19"/>
    <mergeCell ref="C20:D20"/>
    <mergeCell ref="C21:D21"/>
    <mergeCell ref="C22:D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4" workbookViewId="0">
      <selection activeCell="G23" sqref="G23"/>
    </sheetView>
  </sheetViews>
  <sheetFormatPr defaultRowHeight="15" x14ac:dyDescent="0.25"/>
  <cols>
    <col min="1" max="1" width="12.140625" customWidth="1"/>
    <col min="2" max="2" width="26.28515625" customWidth="1"/>
    <col min="3" max="3" width="19.140625" customWidth="1"/>
    <col min="4" max="4" width="16.85546875" customWidth="1"/>
    <col min="5" max="5" width="15.28515625" customWidth="1"/>
    <col min="6" max="6" width="14" bestFit="1" customWidth="1"/>
  </cols>
  <sheetData>
    <row r="1" spans="1:6" x14ac:dyDescent="0.25">
      <c r="A1" s="1" t="s">
        <v>0</v>
      </c>
    </row>
    <row r="2" spans="1:6" x14ac:dyDescent="0.25">
      <c r="A2" t="s">
        <v>1</v>
      </c>
      <c r="E2" t="s">
        <v>5</v>
      </c>
    </row>
    <row r="3" spans="1:6" x14ac:dyDescent="0.25">
      <c r="A3" t="s">
        <v>2</v>
      </c>
    </row>
    <row r="4" spans="1:6" ht="15.75" thickBot="1" x14ac:dyDescent="0.3">
      <c r="A4" s="4" t="s">
        <v>3</v>
      </c>
      <c r="B4" s="4"/>
      <c r="C4" s="4"/>
      <c r="D4" s="4"/>
    </row>
    <row r="5" spans="1:6" x14ac:dyDescent="0.25">
      <c r="A5" t="s">
        <v>4</v>
      </c>
    </row>
    <row r="6" spans="1:6" ht="15.75" thickBot="1" x14ac:dyDescent="0.3"/>
    <row r="7" spans="1:6" ht="15.75" thickTop="1" x14ac:dyDescent="0.25">
      <c r="A7" s="36" t="s">
        <v>6</v>
      </c>
      <c r="B7" s="38" t="s">
        <v>7</v>
      </c>
      <c r="C7" s="38" t="s">
        <v>8</v>
      </c>
      <c r="D7" s="40" t="s">
        <v>9</v>
      </c>
      <c r="E7" s="42" t="s">
        <v>10</v>
      </c>
    </row>
    <row r="8" spans="1:6" ht="15.75" thickBot="1" x14ac:dyDescent="0.3">
      <c r="A8" s="37"/>
      <c r="B8" s="39"/>
      <c r="C8" s="39"/>
      <c r="D8" s="41"/>
      <c r="E8" s="43"/>
    </row>
    <row r="9" spans="1:6" ht="16.5" thickTop="1" thickBot="1" x14ac:dyDescent="0.3">
      <c r="A9" s="5"/>
      <c r="B9" s="6"/>
      <c r="C9" s="6"/>
      <c r="D9" s="7"/>
      <c r="E9" s="7"/>
    </row>
    <row r="10" spans="1:6" ht="15.75" thickTop="1" x14ac:dyDescent="0.25">
      <c r="A10" s="9">
        <v>1</v>
      </c>
      <c r="B10" s="10" t="s">
        <v>11</v>
      </c>
      <c r="C10" s="11">
        <v>10</v>
      </c>
      <c r="D10" s="12">
        <v>6000</v>
      </c>
      <c r="E10" s="13">
        <f t="shared" ref="E10:E16" si="0">C10*D10</f>
        <v>60000</v>
      </c>
    </row>
    <row r="11" spans="1:6" x14ac:dyDescent="0.25">
      <c r="A11" s="14">
        <v>2</v>
      </c>
      <c r="B11" s="15" t="s">
        <v>12</v>
      </c>
      <c r="C11" s="16">
        <v>15</v>
      </c>
      <c r="D11" s="17">
        <v>800000</v>
      </c>
      <c r="E11" s="18">
        <f t="shared" si="0"/>
        <v>12000000</v>
      </c>
    </row>
    <row r="12" spans="1:6" x14ac:dyDescent="0.25">
      <c r="A12" s="14">
        <v>3</v>
      </c>
      <c r="B12" s="15" t="s">
        <v>13</v>
      </c>
      <c r="C12" s="16">
        <v>20</v>
      </c>
      <c r="D12" s="17">
        <v>100000</v>
      </c>
      <c r="E12" s="18">
        <f t="shared" si="0"/>
        <v>2000000</v>
      </c>
    </row>
    <row r="13" spans="1:6" x14ac:dyDescent="0.25">
      <c r="A13" s="14">
        <v>4</v>
      </c>
      <c r="B13" s="19" t="s">
        <v>14</v>
      </c>
      <c r="C13" s="16">
        <v>25</v>
      </c>
      <c r="D13" s="17">
        <v>30000</v>
      </c>
      <c r="E13" s="18">
        <f t="shared" si="0"/>
        <v>750000</v>
      </c>
    </row>
    <row r="14" spans="1:6" x14ac:dyDescent="0.25">
      <c r="A14" s="14">
        <v>5</v>
      </c>
      <c r="B14" s="15" t="s">
        <v>15</v>
      </c>
      <c r="C14" s="16">
        <v>20</v>
      </c>
      <c r="D14" s="17">
        <v>500000</v>
      </c>
      <c r="E14" s="18">
        <f t="shared" si="0"/>
        <v>10000000</v>
      </c>
    </row>
    <row r="15" spans="1:6" x14ac:dyDescent="0.25">
      <c r="A15" s="14">
        <v>6</v>
      </c>
      <c r="B15" s="15" t="s">
        <v>16</v>
      </c>
      <c r="C15" s="16">
        <v>15</v>
      </c>
      <c r="D15" s="17">
        <v>650000</v>
      </c>
      <c r="E15" s="18">
        <f t="shared" si="0"/>
        <v>9750000</v>
      </c>
      <c r="F15" s="8"/>
    </row>
    <row r="16" spans="1:6" ht="15.75" thickBot="1" x14ac:dyDescent="0.3">
      <c r="A16" s="20">
        <v>7</v>
      </c>
      <c r="B16" s="21" t="s">
        <v>17</v>
      </c>
      <c r="C16" s="22">
        <v>10</v>
      </c>
      <c r="D16" s="23">
        <v>1000000</v>
      </c>
      <c r="E16" s="24">
        <f t="shared" si="0"/>
        <v>10000000</v>
      </c>
    </row>
    <row r="17" spans="1:6" ht="16.5" thickTop="1" thickBot="1" x14ac:dyDescent="0.3"/>
    <row r="18" spans="1:6" ht="15.75" thickTop="1" x14ac:dyDescent="0.25">
      <c r="C18" s="44" t="s">
        <v>18</v>
      </c>
      <c r="D18" s="45"/>
      <c r="E18" s="13">
        <f>SUM(E10,E11,E12,E13,E14,E15,E16,)</f>
        <v>44560000</v>
      </c>
      <c r="F18" s="8"/>
    </row>
    <row r="19" spans="1:6" x14ac:dyDescent="0.25">
      <c r="C19" s="46" t="s">
        <v>19</v>
      </c>
      <c r="D19" s="47"/>
      <c r="E19" s="18">
        <f>MAX(E10:E16)</f>
        <v>12000000</v>
      </c>
    </row>
    <row r="20" spans="1:6" x14ac:dyDescent="0.25">
      <c r="C20" s="46" t="s">
        <v>20</v>
      </c>
      <c r="D20" s="47"/>
      <c r="E20" s="18">
        <f>MIN(E10:E16)</f>
        <v>60000</v>
      </c>
    </row>
    <row r="21" spans="1:6" x14ac:dyDescent="0.25">
      <c r="C21" s="46" t="s">
        <v>21</v>
      </c>
      <c r="D21" s="47"/>
      <c r="E21" s="18">
        <f>AVERAGE(E10:E16)</f>
        <v>6365714.2857142854</v>
      </c>
    </row>
    <row r="22" spans="1:6" ht="15.75" thickBot="1" x14ac:dyDescent="0.3">
      <c r="C22" s="48" t="s">
        <v>22</v>
      </c>
      <c r="D22" s="49"/>
      <c r="E22" s="50">
        <f>COUNT(E10:E16)</f>
        <v>7</v>
      </c>
    </row>
    <row r="23" spans="1:6" ht="15.75" thickTop="1" x14ac:dyDescent="0.25">
      <c r="C23" s="2"/>
      <c r="D23" s="2"/>
    </row>
    <row r="24" spans="1:6" ht="15.75" thickBot="1" x14ac:dyDescent="0.3">
      <c r="C24" s="2"/>
      <c r="D24" s="2"/>
    </row>
    <row r="25" spans="1:6" ht="15.75" thickTop="1" x14ac:dyDescent="0.25">
      <c r="A25" s="25" t="s">
        <v>23</v>
      </c>
      <c r="B25" s="26"/>
      <c r="C25" s="26"/>
      <c r="D25" s="26"/>
      <c r="E25" s="27"/>
    </row>
    <row r="26" spans="1:6" x14ac:dyDescent="0.25">
      <c r="A26" s="28" t="s">
        <v>24</v>
      </c>
      <c r="B26" s="29"/>
      <c r="C26" s="29"/>
      <c r="D26" s="29"/>
      <c r="E26" s="30"/>
    </row>
    <row r="27" spans="1:6" ht="15.75" thickBot="1" x14ac:dyDescent="0.3">
      <c r="A27" s="31" t="s">
        <v>25</v>
      </c>
      <c r="B27" s="32"/>
      <c r="C27" s="32"/>
      <c r="D27" s="32" t="s">
        <v>26</v>
      </c>
      <c r="E27" s="33"/>
    </row>
    <row r="28" spans="1:6" ht="15.75" thickTop="1" x14ac:dyDescent="0.25"/>
  </sheetData>
  <mergeCells count="10">
    <mergeCell ref="E7:E8"/>
    <mergeCell ref="C18:D18"/>
    <mergeCell ref="C19:D19"/>
    <mergeCell ref="C20:D20"/>
    <mergeCell ref="C21:D21"/>
    <mergeCell ref="C22:D22"/>
    <mergeCell ref="A7:A8"/>
    <mergeCell ref="B7:B8"/>
    <mergeCell ref="C7:C8"/>
    <mergeCell ref="D7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2026-09-05T04:08:45Z</dcterms:created>
  <dcterms:modified xsi:type="dcterms:W3CDTF">2026-09-05T06:48:55Z</dcterms:modified>
</cp:coreProperties>
</file>