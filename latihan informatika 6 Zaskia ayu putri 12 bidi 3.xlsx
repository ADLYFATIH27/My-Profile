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9" i="1"/>
  <c r="I10" i="1"/>
  <c r="I11" i="1"/>
  <c r="I12" i="1"/>
  <c r="I13" i="1"/>
  <c r="I14" i="1"/>
  <c r="I15" i="1"/>
  <c r="I16" i="1"/>
  <c r="I17" i="1"/>
  <c r="I18" i="1"/>
  <c r="I9" i="1"/>
  <c r="H10" i="1"/>
  <c r="H18" i="1"/>
  <c r="H17" i="1"/>
  <c r="H16" i="1"/>
  <c r="H15" i="1"/>
  <c r="H14" i="1"/>
  <c r="H13" i="1"/>
  <c r="H12" i="1"/>
  <c r="H11" i="1"/>
  <c r="H9" i="1"/>
  <c r="E10" i="1"/>
  <c r="E11" i="1"/>
  <c r="E12" i="1"/>
  <c r="E13" i="1"/>
  <c r="E14" i="1"/>
  <c r="E15" i="1"/>
  <c r="E16" i="1"/>
  <c r="E17" i="1"/>
  <c r="E18" i="1"/>
  <c r="E9" i="1"/>
  <c r="F10" i="1"/>
  <c r="F11" i="1"/>
  <c r="F12" i="1"/>
  <c r="F13" i="1"/>
  <c r="F14" i="1"/>
  <c r="F15" i="1"/>
  <c r="F16" i="1"/>
  <c r="F17" i="1"/>
  <c r="F18" i="1"/>
  <c r="F9" i="1"/>
</calcChain>
</file>

<file path=xl/sharedStrings.xml><?xml version="1.0" encoding="utf-8"?>
<sst xmlns="http://schemas.openxmlformats.org/spreadsheetml/2006/main" count="65" uniqueCount="65">
  <si>
    <t>LAPORAN DATA PEGAWAI</t>
  </si>
  <si>
    <t>CV. PERWIRA ABADI</t>
  </si>
  <si>
    <t>PERIODE AGUSTUS 2025</t>
  </si>
  <si>
    <t>NO. URUT</t>
  </si>
  <si>
    <t>NIP</t>
  </si>
  <si>
    <t>NAMA PEGAWAI</t>
  </si>
  <si>
    <t>KODE DEVISI</t>
  </si>
  <si>
    <t>GOL</t>
  </si>
  <si>
    <t>TAHUN MASUK</t>
  </si>
  <si>
    <t>MASA KERJA</t>
  </si>
  <si>
    <t>DEVISI BAGIAN</t>
  </si>
  <si>
    <t>GAJI POKOK</t>
  </si>
  <si>
    <t>Total Keseluruhan</t>
  </si>
  <si>
    <t>Total Tertinggi</t>
  </si>
  <si>
    <t>Total Terendah</t>
  </si>
  <si>
    <t>Total Rata - rata</t>
  </si>
  <si>
    <t>Jumlah Pegawai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</si>
  <si>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</si>
  <si>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</si>
  <si>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</si>
  <si>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</si>
  <si>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</si>
  <si>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</si>
  <si>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</si>
  <si>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</si>
  <si>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</si>
  <si>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</si>
  <si>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KU/2A/2000</t>
  </si>
  <si>
    <t>PR/28/1999</t>
  </si>
  <si>
    <t>TK/2A/2001</t>
  </si>
  <si>
    <t>UM/2C/2002</t>
  </si>
  <si>
    <t>PR/2A/2000</t>
  </si>
  <si>
    <t>KU/2B/1999</t>
  </si>
  <si>
    <t>TK/2A/2003</t>
  </si>
  <si>
    <t>TK/2B/2001</t>
  </si>
  <si>
    <t>PR/2A/2002</t>
  </si>
  <si>
    <t>UM/2C/2000</t>
  </si>
  <si>
    <t>Hendro Priyono</t>
  </si>
  <si>
    <t>Maghdalean</t>
  </si>
  <si>
    <t>Indra L. Brugman</t>
  </si>
  <si>
    <t>Kristo Perwira</t>
  </si>
  <si>
    <t>Pritarini</t>
  </si>
  <si>
    <t>Indha Imoet</t>
  </si>
  <si>
    <t>Kiki Fatmala</t>
  </si>
  <si>
    <t>Lakson Shiwa</t>
  </si>
  <si>
    <t>Ardland</t>
  </si>
  <si>
    <t>Sumarso</t>
  </si>
  <si>
    <t>Tahun Sekarang</t>
  </si>
  <si>
    <t>Kode  Devisi</t>
  </si>
  <si>
    <t>KU</t>
  </si>
  <si>
    <t>PR</t>
  </si>
  <si>
    <t>TK</t>
  </si>
  <si>
    <t>UM</t>
  </si>
  <si>
    <t>Devisi Bagian</t>
  </si>
  <si>
    <t>Keuangan</t>
  </si>
  <si>
    <t>Personalisasi</t>
  </si>
  <si>
    <t>Teknisi</t>
  </si>
  <si>
    <t>Umum</t>
  </si>
  <si>
    <t>Gol</t>
  </si>
  <si>
    <t>Gaji Pokok</t>
  </si>
  <si>
    <t>2A</t>
  </si>
  <si>
    <t>2B</t>
  </si>
  <si>
    <t>2C</t>
  </si>
  <si>
    <t>Tabel Gaji Pokok</t>
  </si>
  <si>
    <t>Tabel Devisi Bagian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</si>
</sst>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-[$Rp-3809]* #,##0.00_-;\-[$Rp-3809]* #,##0.00_-;_-[$Rp-3809]* &quot;-&quot;??_-;_-@_-"/>
    <numFmt numFmtId="168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quotePrefix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7" fontId="0" fillId="0" borderId="1" xfId="0" applyNumberFormat="1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0"/>
  <sheetViews>
    <sheetView tabSelected="1" topLeftCell="A2" workbookViewId="0">
      <selection activeCell="J10" sqref="J10"/>
    </sheetView>
  </sheetViews>
  <sheetFormatPr defaultRowHeight="15" x14ac:dyDescent="0.25"/>
  <cols>
    <col min="2" max="2" width="6.5703125" customWidth="1"/>
    <col min="3" max="3" width="16.42578125" customWidth="1"/>
    <col min="4" max="4" width="18.42578125" customWidth="1"/>
    <col min="5" max="5" width="10.140625" customWidth="1"/>
    <col min="6" max="6" width="10.42578125" customWidth="1"/>
    <col min="7" max="7" width="9.85546875" customWidth="1"/>
    <col min="8" max="8" width="15.42578125" customWidth="1"/>
    <col min="9" max="9" width="15" customWidth="1"/>
    <col min="10" max="10" width="26.28515625" customWidth="1"/>
  </cols>
  <sheetData>
    <row r="3" spans="2:10" x14ac:dyDescent="0.25">
      <c r="D3" s="2" t="s">
        <v>0</v>
      </c>
      <c r="E3" s="2"/>
      <c r="F3" s="2"/>
    </row>
    <row r="4" spans="2:10" x14ac:dyDescent="0.25">
      <c r="D4" s="2" t="s">
        <v>1</v>
      </c>
      <c r="E4" s="2"/>
      <c r="F4" s="2"/>
    </row>
    <row r="5" spans="2:10" x14ac:dyDescent="0.25">
      <c r="D5" s="2" t="s">
        <v>2</v>
      </c>
      <c r="E5" s="2"/>
      <c r="F5" s="2"/>
    </row>
    <row r="7" spans="2:10" ht="15" customHeight="1" x14ac:dyDescent="0.25">
      <c r="D7" s="1" t="s">
        <v>47</v>
      </c>
      <c r="E7" s="1">
        <v>2025</v>
      </c>
    </row>
    <row r="8" spans="2:10" ht="30" customHeight="1" x14ac:dyDescent="0.25">
      <c r="B8" s="5" t="s">
        <v>3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6" t="s">
        <v>10</v>
      </c>
      <c r="J8" s="6" t="s">
        <v>11</v>
      </c>
    </row>
    <row r="9" spans="2:10" x14ac:dyDescent="0.25">
      <c r="B9" s="7" t="s">
        <v>17</v>
      </c>
      <c r="C9" s="4" t="s">
        <v>27</v>
      </c>
      <c r="D9" s="4" t="s">
        <v>37</v>
      </c>
      <c r="E9" s="4" t="str">
        <f>LEFT(C9,2)</f>
        <v>KU</v>
      </c>
      <c r="F9" s="4" t="str">
        <f>MID(C9,4,2)</f>
        <v>2A</v>
      </c>
      <c r="G9" s="4">
        <v>2000</v>
      </c>
      <c r="H9" s="4" t="str">
        <f>E7-G9&amp;" Tahun"</f>
        <v>25 Tahun</v>
      </c>
      <c r="I9" s="4" t="str">
        <f>VLOOKUP(E9,$C$26:$D$30,2,0)</f>
        <v>Keuangan</v>
      </c>
      <c r="J9" s="11">
        <f>HLOOKUP(F9,$F$26:$I$27,2,0)</f>
        <v>1000000</v>
      </c>
    </row>
    <row r="10" spans="2:10" x14ac:dyDescent="0.25">
      <c r="B10" s="7" t="s">
        <v>18</v>
      </c>
      <c r="C10" s="4" t="s">
        <v>28</v>
      </c>
      <c r="D10" s="4" t="s">
        <v>38</v>
      </c>
      <c r="E10" s="4" t="str">
        <f t="shared" ref="E10:E18" si="0">LEFT(C10,2)</f>
        <v>PR</v>
      </c>
      <c r="F10" s="4" t="str">
        <f t="shared" ref="F10:F18" si="1">MID(C10,4,2)</f>
        <v>28</v>
      </c>
      <c r="G10" s="4">
        <v>1999</v>
      </c>
      <c r="H10" s="4" t="str">
        <f>E7-G10&amp;" Tahun"</f>
        <v>26 Tahun</v>
      </c>
      <c r="I10" s="4" t="str">
        <f t="shared" ref="I10:I18" si="2">VLOOKUP(E10,$C$26:$D$30,2,0)</f>
        <v>Personalisasi</v>
      </c>
      <c r="J10" s="11"/>
    </row>
    <row r="11" spans="2:10" x14ac:dyDescent="0.25">
      <c r="B11" s="7" t="s">
        <v>19</v>
      </c>
      <c r="C11" s="4" t="s">
        <v>29</v>
      </c>
      <c r="D11" s="4" t="s">
        <v>39</v>
      </c>
      <c r="E11" s="4" t="str">
        <f t="shared" si="0"/>
        <v>TK</v>
      </c>
      <c r="F11" s="4" t="str">
        <f t="shared" si="1"/>
        <v>2A</v>
      </c>
      <c r="G11" s="4">
        <v>2001</v>
      </c>
      <c r="H11" s="4" t="str">
        <f>E7-G11&amp;" Tahun"</f>
        <v>24 Tahun</v>
      </c>
      <c r="I11" s="4" t="str">
        <f t="shared" si="2"/>
        <v>Teknisi</v>
      </c>
      <c r="J11" s="11">
        <f t="shared" ref="J10:J18" si="3">HLOOKUP(F11,$F$26:$I$27,2,0)</f>
        <v>1000000</v>
      </c>
    </row>
    <row r="12" spans="2:10" x14ac:dyDescent="0.25">
      <c r="B12" s="7" t="s">
        <v>20</v>
      </c>
      <c r="C12" s="4" t="s">
        <v>30</v>
      </c>
      <c r="D12" s="4" t="s">
        <v>40</v>
      </c>
      <c r="E12" s="4" t="str">
        <f t="shared" si="0"/>
        <v>UM</v>
      </c>
      <c r="F12" s="4" t="str">
        <f t="shared" si="1"/>
        <v>2C</v>
      </c>
      <c r="G12" s="4">
        <v>2002</v>
      </c>
      <c r="H12" s="4" t="str">
        <f>E7-G12&amp;" Tahun"</f>
        <v>23 Tahun</v>
      </c>
      <c r="I12" s="4" t="str">
        <f t="shared" si="2"/>
        <v>Umum</v>
      </c>
      <c r="J12" s="11">
        <f t="shared" si="3"/>
        <v>500000</v>
      </c>
    </row>
    <row r="13" spans="2:10" x14ac:dyDescent="0.25">
      <c r="B13" s="7" t="s">
        <v>21</v>
      </c>
      <c r="C13" s="4" t="s">
        <v>31</v>
      </c>
      <c r="D13" s="4" t="s">
        <v>41</v>
      </c>
      <c r="E13" s="4" t="str">
        <f t="shared" si="0"/>
        <v>PR</v>
      </c>
      <c r="F13" s="4" t="str">
        <f t="shared" si="1"/>
        <v>2A</v>
      </c>
      <c r="G13" s="4">
        <v>2000</v>
      </c>
      <c r="H13" s="4" t="str">
        <f>E7-G13&amp;" Tahun"</f>
        <v>25 Tahun</v>
      </c>
      <c r="I13" s="4" t="str">
        <f t="shared" si="2"/>
        <v>Personalisasi</v>
      </c>
      <c r="J13" s="11">
        <f t="shared" si="3"/>
        <v>1000000</v>
      </c>
    </row>
    <row r="14" spans="2:10" x14ac:dyDescent="0.25">
      <c r="B14" s="7" t="s">
        <v>22</v>
      </c>
      <c r="C14" s="4" t="s">
        <v>32</v>
      </c>
      <c r="D14" s="4" t="s">
        <v>42</v>
      </c>
      <c r="E14" s="4" t="str">
        <f t="shared" si="0"/>
        <v>KU</v>
      </c>
      <c r="F14" s="4" t="str">
        <f t="shared" si="1"/>
        <v>2B</v>
      </c>
      <c r="G14" s="4">
        <v>1999</v>
      </c>
      <c r="H14" s="4" t="str">
        <f>E7-G14&amp;" Tahun"</f>
        <v>26 Tahun</v>
      </c>
      <c r="I14" s="4" t="str">
        <f t="shared" si="2"/>
        <v>Keuangan</v>
      </c>
      <c r="J14" s="11">
        <f t="shared" si="3"/>
        <v>800000</v>
      </c>
    </row>
    <row r="15" spans="2:10" x14ac:dyDescent="0.25">
      <c r="B15" s="7" t="s">
        <v>23</v>
      </c>
      <c r="C15" s="4" t="s">
        <v>33</v>
      </c>
      <c r="D15" s="4" t="s">
        <v>43</v>
      </c>
      <c r="E15" s="4" t="str">
        <f t="shared" si="0"/>
        <v>TK</v>
      </c>
      <c r="F15" s="4" t="str">
        <f t="shared" si="1"/>
        <v>2A</v>
      </c>
      <c r="G15" s="4">
        <v>2003</v>
      </c>
      <c r="H15" s="4" t="str">
        <f>E7-G15&amp;" Tahun"</f>
        <v>22 Tahun</v>
      </c>
      <c r="I15" s="4" t="str">
        <f t="shared" si="2"/>
        <v>Teknisi</v>
      </c>
      <c r="J15" s="11">
        <f t="shared" si="3"/>
        <v>1000000</v>
      </c>
    </row>
    <row r="16" spans="2:10" x14ac:dyDescent="0.25">
      <c r="B16" s="7" t="s">
        <v>24</v>
      </c>
      <c r="C16" s="4" t="s">
        <v>34</v>
      </c>
      <c r="D16" s="4" t="s">
        <v>44</v>
      </c>
      <c r="E16" s="4" t="str">
        <f t="shared" si="0"/>
        <v>TK</v>
      </c>
      <c r="F16" s="4" t="str">
        <f t="shared" si="1"/>
        <v>2B</v>
      </c>
      <c r="G16" s="4">
        <v>2001</v>
      </c>
      <c r="H16" s="4" t="str">
        <f>E7-G16&amp;" Tahun"</f>
        <v>24 Tahun</v>
      </c>
      <c r="I16" s="4" t="str">
        <f t="shared" si="2"/>
        <v>Teknisi</v>
      </c>
      <c r="J16" s="11">
        <f t="shared" si="3"/>
        <v>800000</v>
      </c>
    </row>
    <row r="17" spans="2:10" x14ac:dyDescent="0.25">
      <c r="B17" s="7" t="s">
        <v>25</v>
      </c>
      <c r="C17" s="4" t="s">
        <v>35</v>
      </c>
      <c r="D17" s="4" t="s">
        <v>45</v>
      </c>
      <c r="E17" s="4" t="str">
        <f t="shared" si="0"/>
        <v>PR</v>
      </c>
      <c r="F17" s="4" t="str">
        <f t="shared" si="1"/>
        <v>2A</v>
      </c>
      <c r="G17" s="4">
        <v>2002</v>
      </c>
      <c r="H17" s="4" t="str">
        <f>E7-G17&amp;" Tahun"</f>
        <v>23 Tahun</v>
      </c>
      <c r="I17" s="4" t="str">
        <f t="shared" si="2"/>
        <v>Personalisasi</v>
      </c>
      <c r="J17" s="11">
        <f t="shared" si="3"/>
        <v>1000000</v>
      </c>
    </row>
    <row r="18" spans="2:10" x14ac:dyDescent="0.25">
      <c r="B18" s="7" t="s">
        <v>26</v>
      </c>
      <c r="C18" s="4" t="s">
        <v>36</v>
      </c>
      <c r="D18" s="4" t="s">
        <v>46</v>
      </c>
      <c r="E18" s="4" t="str">
        <f t="shared" si="0"/>
        <v>UM</v>
      </c>
      <c r="F18" s="4" t="str">
        <f t="shared" si="1"/>
        <v>2C</v>
      </c>
      <c r="G18" s="4">
        <v>2000</v>
      </c>
      <c r="H18" s="4" t="str">
        <f>E7-G18&amp;" Tahun"</f>
        <v>25 Tahun</v>
      </c>
      <c r="I18" s="4" t="str">
        <f t="shared" si="2"/>
        <v>Umum</v>
      </c>
      <c r="J18" s="11">
        <f t="shared" si="3"/>
        <v>500000</v>
      </c>
    </row>
    <row r="19" spans="2:10" x14ac:dyDescent="0.25">
      <c r="H19" s="8" t="s">
        <v>12</v>
      </c>
      <c r="I19" s="9"/>
      <c r="J19" s="12"/>
    </row>
    <row r="20" spans="2:10" x14ac:dyDescent="0.25">
      <c r="H20" s="8" t="s">
        <v>13</v>
      </c>
      <c r="I20" s="9"/>
      <c r="J20" s="11"/>
    </row>
    <row r="21" spans="2:10" x14ac:dyDescent="0.25">
      <c r="H21" s="8" t="s">
        <v>14</v>
      </c>
      <c r="I21" s="9"/>
      <c r="J21" s="3"/>
    </row>
    <row r="22" spans="2:10" x14ac:dyDescent="0.25">
      <c r="H22" s="8" t="s">
        <v>15</v>
      </c>
      <c r="I22" s="9"/>
      <c r="J22" s="3"/>
    </row>
    <row r="23" spans="2:10" x14ac:dyDescent="0.25">
      <c r="H23" s="8" t="s">
        <v>16</v>
      </c>
      <c r="I23" s="9"/>
      <c r="J23" s="3"/>
    </row>
    <row r="25" spans="2:10" x14ac:dyDescent="0.25">
      <c r="C25" t="s">
        <v>64</v>
      </c>
      <c r="F25" t="s">
        <v>63</v>
      </c>
    </row>
    <row r="26" spans="2:10" x14ac:dyDescent="0.25">
      <c r="C26" s="10" t="s">
        <v>48</v>
      </c>
      <c r="D26" s="10" t="s">
        <v>53</v>
      </c>
      <c r="F26" s="10" t="s">
        <v>58</v>
      </c>
      <c r="G26" s="4" t="s">
        <v>60</v>
      </c>
      <c r="H26" s="4" t="s">
        <v>61</v>
      </c>
      <c r="I26" s="4" t="s">
        <v>62</v>
      </c>
    </row>
    <row r="27" spans="2:10" x14ac:dyDescent="0.25">
      <c r="C27" s="4" t="s">
        <v>49</v>
      </c>
      <c r="D27" s="4" t="s">
        <v>54</v>
      </c>
      <c r="F27" s="10" t="s">
        <v>59</v>
      </c>
      <c r="G27" s="4">
        <v>1000000</v>
      </c>
      <c r="H27" s="4">
        <v>800000</v>
      </c>
      <c r="I27" s="4">
        <v>500000</v>
      </c>
    </row>
    <row r="28" spans="2:10" x14ac:dyDescent="0.25">
      <c r="C28" s="4" t="s">
        <v>50</v>
      </c>
      <c r="D28" s="4" t="s">
        <v>55</v>
      </c>
    </row>
    <row r="29" spans="2:10" x14ac:dyDescent="0.25">
      <c r="C29" s="4" t="s">
        <v>51</v>
      </c>
      <c r="D29" s="4" t="s">
        <v>56</v>
      </c>
    </row>
    <row r="30" spans="2:10" x14ac:dyDescent="0.25">
      <c r="C30" s="4" t="s">
        <v>52</v>
      </c>
      <c r="D30" s="4" t="s">
        <v>57</v>
      </c>
    </row>
  </sheetData>
  <mergeCells count="8">
    <mergeCell ref="H21:I21"/>
    <mergeCell ref="H23:I23"/>
    <mergeCell ref="H22:I22"/>
    <mergeCell ref="D3:F3"/>
    <mergeCell ref="D4:F4"/>
    <mergeCell ref="D5:F5"/>
    <mergeCell ref="H20:I20"/>
    <mergeCell ref="H19:I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2026-10-17T04:39:25Z</dcterms:created>
  <dcterms:modified xsi:type="dcterms:W3CDTF">2026-10-17T07:07:52Z</dcterms:modified>
</cp:coreProperties>
</file>