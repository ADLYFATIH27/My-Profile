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2995" windowHeight="1005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E26" i="1" l="1"/>
  <c r="E25" i="1"/>
  <c r="E24" i="1"/>
  <c r="E23" i="1"/>
  <c r="E22" i="1"/>
  <c r="E21" i="1"/>
  <c r="F10" i="1"/>
  <c r="F11" i="1"/>
  <c r="F12" i="1"/>
  <c r="F13" i="1"/>
  <c r="F14" i="1"/>
  <c r="F15" i="1"/>
  <c r="F16" i="1"/>
  <c r="F17" i="1"/>
  <c r="F18" i="1"/>
  <c r="F9" i="1"/>
  <c r="E20" i="1"/>
</calcChain>
</file>

<file path=xl/sharedStrings.xml><?xml version="1.0" encoding="utf-8"?>
<sst xmlns="http://schemas.openxmlformats.org/spreadsheetml/2006/main" count="32" uniqueCount="24">
  <si>
    <t>NO</t>
  </si>
  <si>
    <t>NAMA MAHASISWA</t>
  </si>
  <si>
    <t>P/L</t>
  </si>
  <si>
    <t>NILAI</t>
  </si>
  <si>
    <t>KETERANGAN</t>
  </si>
  <si>
    <t>AHMAD</t>
  </si>
  <si>
    <t>MINI NURKHASANAH</t>
  </si>
  <si>
    <t>EKA PUTRI</t>
  </si>
  <si>
    <t>DWI PUTRI NINGSIH</t>
  </si>
  <si>
    <t>HANI EL HAZANI</t>
  </si>
  <si>
    <t>DONI LUMIA</t>
  </si>
  <si>
    <t>ENAL SAPUTRA</t>
  </si>
  <si>
    <t>RPBRET ALYSWAN</t>
  </si>
  <si>
    <t>HENDIB KURNIA</t>
  </si>
  <si>
    <t>RISAL JAYA PURNAMA</t>
  </si>
  <si>
    <t>L</t>
  </si>
  <si>
    <t>P</t>
  </si>
  <si>
    <t>Jumlah Renge</t>
  </si>
  <si>
    <t>Jumlah Mahasiswa yang Lulus</t>
  </si>
  <si>
    <t>Jumlah Mahasiswa yang Tidak Lulus</t>
  </si>
  <si>
    <t>Jumlah Mahasiswa Laki -laki Lulus</t>
  </si>
  <si>
    <t>Jumlah Mahasiswa Laki -laki yang Tidak Lulus</t>
  </si>
  <si>
    <t>Jumlah Mahasiswa Perempuan Lulus</t>
  </si>
  <si>
    <t>Jumlah Mahasiswa Perempuan yang Tidak Lulus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</si>
</sst>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571501</xdr:colOff>
      <xdr:row>0</xdr:row>
      <xdr:rowOff>95250</xdr:rowOff>
    </xdr:from>
    <xdr:ext cx="5334000" cy="1152525"/>
    <xdr:sp macro="" textlink="">
      <xdr:nvSpPr>
        <xdr:cNvPr id="2" name="Rectangle 1"/>
        <xdr:cNvSpPr/>
      </xdr:nvSpPr>
      <xdr:spPr>
        <a:xfrm>
          <a:off x="571501" y="95250"/>
          <a:ext cx="5334000" cy="1152525"/>
        </a:xfrm>
        <a:prstGeom prst="rect">
          <a:avLst/>
        </a:prstGeom>
        <a:noFill/>
      </xdr:spPr>
      <xdr:txBody>
        <a:bodyPr wrap="square" lIns="91440" tIns="45720" rIns="91440" bIns="45720">
          <a:prstTxWarp prst="textChevronInverted">
            <a:avLst/>
          </a:prstTxWarp>
          <a:noAutofit/>
        </a:bodyPr>
        <a:lstStyle/>
        <a:p>
          <a:pPr algn="ctr"/>
          <a:r>
            <a:rPr lang="en-US" sz="3600" b="1" cap="none" spc="0">
              <a:ln w="10541" cmpd="sng">
                <a:solidFill>
                  <a:schemeClr val="accent1">
                    <a:shade val="88000"/>
                    <a:satMod val="110000"/>
                  </a:schemeClr>
                </a:solidFill>
                <a:prstDash val="solid"/>
              </a:ln>
              <a:gradFill>
                <a:gsLst>
                  <a:gs pos="0">
                    <a:schemeClr val="accent1">
                      <a:tint val="40000"/>
                      <a:satMod val="250000"/>
                    </a:schemeClr>
                  </a:gs>
                  <a:gs pos="9000">
                    <a:schemeClr val="accent1">
                      <a:tint val="52000"/>
                      <a:satMod val="300000"/>
                    </a:schemeClr>
                  </a:gs>
                  <a:gs pos="50000">
                    <a:schemeClr val="accent1">
                      <a:shade val="20000"/>
                      <a:satMod val="300000"/>
                    </a:schemeClr>
                  </a:gs>
                  <a:gs pos="79000">
                    <a:schemeClr val="accent1">
                      <a:tint val="52000"/>
                      <a:satMod val="300000"/>
                    </a:schemeClr>
                  </a:gs>
                  <a:gs pos="100000">
                    <a:schemeClr val="accent1">
                      <a:tint val="40000"/>
                      <a:satMod val="250000"/>
                    </a:schemeClr>
                  </a:gs>
                </a:gsLst>
                <a:lin ang="5400000"/>
              </a:gradFill>
              <a:effectLst/>
            </a:rPr>
            <a:t>REKAP NILAI MAHASISWA</a:t>
          </a:r>
        </a:p>
        <a:p>
          <a:pPr algn="ctr"/>
          <a:r>
            <a:rPr lang="en-US" sz="3600" b="1" cap="none" spc="0">
              <a:ln w="10541" cmpd="sng">
                <a:solidFill>
                  <a:schemeClr val="accent1">
                    <a:shade val="88000"/>
                    <a:satMod val="110000"/>
                  </a:schemeClr>
                </a:solidFill>
                <a:prstDash val="solid"/>
              </a:ln>
              <a:gradFill>
                <a:gsLst>
                  <a:gs pos="0">
                    <a:schemeClr val="accent1">
                      <a:tint val="40000"/>
                      <a:satMod val="250000"/>
                    </a:schemeClr>
                  </a:gs>
                  <a:gs pos="9000">
                    <a:schemeClr val="accent1">
                      <a:tint val="52000"/>
                      <a:satMod val="300000"/>
                    </a:schemeClr>
                  </a:gs>
                  <a:gs pos="50000">
                    <a:schemeClr val="accent1">
                      <a:shade val="20000"/>
                      <a:satMod val="300000"/>
                    </a:schemeClr>
                  </a:gs>
                  <a:gs pos="79000">
                    <a:schemeClr val="accent1">
                      <a:tint val="52000"/>
                      <a:satMod val="300000"/>
                    </a:schemeClr>
                  </a:gs>
                  <a:gs pos="100000">
                    <a:schemeClr val="accent1">
                      <a:tint val="40000"/>
                      <a:satMod val="250000"/>
                    </a:schemeClr>
                  </a:gs>
                </a:gsLst>
                <a:lin ang="5400000"/>
              </a:gradFill>
              <a:effectLst/>
            </a:rPr>
            <a:t>SELAMA 1 SEMESTER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8:F26"/>
  <sheetViews>
    <sheetView tabSelected="1" workbookViewId="0">
      <selection activeCell="E25" sqref="E25"/>
    </sheetView>
  </sheetViews>
  <sheetFormatPr defaultRowHeight="15" x14ac:dyDescent="0.25"/>
  <cols>
    <col min="2" max="2" width="4.7109375" customWidth="1"/>
    <col min="3" max="3" width="26.28515625" customWidth="1"/>
    <col min="4" max="4" width="12" customWidth="1"/>
    <col min="5" max="5" width="10.42578125" customWidth="1"/>
    <col min="6" max="6" width="23.42578125" customWidth="1"/>
  </cols>
  <sheetData>
    <row r="8" spans="2:6" ht="31.5" customHeight="1" x14ac:dyDescent="0.25">
      <c r="B8" s="3" t="s">
        <v>0</v>
      </c>
      <c r="C8" s="3" t="s">
        <v>1</v>
      </c>
      <c r="D8" s="3" t="s">
        <v>2</v>
      </c>
      <c r="E8" s="3" t="s">
        <v>3</v>
      </c>
      <c r="F8" s="3" t="s">
        <v>4</v>
      </c>
    </row>
    <row r="9" spans="2:6" x14ac:dyDescent="0.25">
      <c r="B9" s="1">
        <v>1</v>
      </c>
      <c r="C9" s="1" t="s">
        <v>5</v>
      </c>
      <c r="D9" s="2" t="s">
        <v>15</v>
      </c>
      <c r="E9" s="2">
        <v>75</v>
      </c>
      <c r="F9" s="2" t="str">
        <f>IF(E9&gt;=75,"LULUS","Tidak lulus")</f>
        <v>LULUS</v>
      </c>
    </row>
    <row r="10" spans="2:6" x14ac:dyDescent="0.25">
      <c r="B10" s="2">
        <v>2</v>
      </c>
      <c r="C10" s="1" t="s">
        <v>6</v>
      </c>
      <c r="D10" s="2" t="s">
        <v>16</v>
      </c>
      <c r="E10" s="2">
        <v>70</v>
      </c>
      <c r="F10" s="2" t="str">
        <f t="shared" ref="F10:F18" si="0">IF(E10&gt;=75,"LULUS","Tidak lulus")</f>
        <v>Tidak lulus</v>
      </c>
    </row>
    <row r="11" spans="2:6" x14ac:dyDescent="0.25">
      <c r="B11" s="1">
        <v>3</v>
      </c>
      <c r="C11" s="1" t="s">
        <v>7</v>
      </c>
      <c r="D11" s="2" t="s">
        <v>16</v>
      </c>
      <c r="E11" s="2">
        <v>80</v>
      </c>
      <c r="F11" s="2" t="str">
        <f t="shared" si="0"/>
        <v>LULUS</v>
      </c>
    </row>
    <row r="12" spans="2:6" x14ac:dyDescent="0.25">
      <c r="B12" s="2">
        <v>4</v>
      </c>
      <c r="C12" s="1" t="s">
        <v>8</v>
      </c>
      <c r="D12" s="2" t="s">
        <v>16</v>
      </c>
      <c r="E12" s="2">
        <v>74</v>
      </c>
      <c r="F12" s="2" t="str">
        <f t="shared" si="0"/>
        <v>Tidak lulus</v>
      </c>
    </row>
    <row r="13" spans="2:6" x14ac:dyDescent="0.25">
      <c r="B13" s="2">
        <v>5</v>
      </c>
      <c r="C13" s="1" t="s">
        <v>9</v>
      </c>
      <c r="D13" s="2" t="s">
        <v>16</v>
      </c>
      <c r="E13" s="2">
        <v>76</v>
      </c>
      <c r="F13" s="2" t="str">
        <f t="shared" si="0"/>
        <v>LULUS</v>
      </c>
    </row>
    <row r="14" spans="2:6" x14ac:dyDescent="0.25">
      <c r="B14" s="2">
        <v>6</v>
      </c>
      <c r="C14" s="1" t="s">
        <v>10</v>
      </c>
      <c r="D14" s="2" t="s">
        <v>15</v>
      </c>
      <c r="E14" s="2">
        <v>73</v>
      </c>
      <c r="F14" s="2" t="str">
        <f t="shared" si="0"/>
        <v>Tidak lulus</v>
      </c>
    </row>
    <row r="15" spans="2:6" x14ac:dyDescent="0.25">
      <c r="B15" s="2">
        <v>7</v>
      </c>
      <c r="C15" s="1" t="s">
        <v>11</v>
      </c>
      <c r="D15" s="2" t="s">
        <v>15</v>
      </c>
      <c r="E15" s="2">
        <v>80</v>
      </c>
      <c r="F15" s="2" t="str">
        <f t="shared" si="0"/>
        <v>LULUS</v>
      </c>
    </row>
    <row r="16" spans="2:6" x14ac:dyDescent="0.25">
      <c r="B16" s="2">
        <v>8</v>
      </c>
      <c r="C16" s="1" t="s">
        <v>12</v>
      </c>
      <c r="D16" s="2" t="s">
        <v>15</v>
      </c>
      <c r="E16" s="2">
        <v>60</v>
      </c>
      <c r="F16" s="2" t="str">
        <f t="shared" si="0"/>
        <v>Tidak lulus</v>
      </c>
    </row>
    <row r="17" spans="2:6" x14ac:dyDescent="0.25">
      <c r="B17" s="2">
        <v>9</v>
      </c>
      <c r="C17" s="1" t="s">
        <v>13</v>
      </c>
      <c r="D17" s="2" t="s">
        <v>15</v>
      </c>
      <c r="E17" s="2">
        <v>61</v>
      </c>
      <c r="F17" s="2" t="str">
        <f t="shared" si="0"/>
        <v>Tidak lulus</v>
      </c>
    </row>
    <row r="18" spans="2:6" x14ac:dyDescent="0.25">
      <c r="B18" s="2">
        <v>10</v>
      </c>
      <c r="C18" s="1" t="s">
        <v>14</v>
      </c>
      <c r="D18" s="2" t="s">
        <v>15</v>
      </c>
      <c r="E18" s="2">
        <v>90</v>
      </c>
      <c r="F18" s="2" t="str">
        <f t="shared" si="0"/>
        <v>LULUS</v>
      </c>
    </row>
    <row r="20" spans="2:6" x14ac:dyDescent="0.25">
      <c r="B20" s="4" t="s">
        <v>17</v>
      </c>
      <c r="C20" s="4"/>
      <c r="D20" s="4"/>
      <c r="E20" s="3">
        <f>COUNTA(C9:C18)</f>
        <v>10</v>
      </c>
    </row>
    <row r="21" spans="2:6" x14ac:dyDescent="0.25">
      <c r="B21" s="4" t="s">
        <v>18</v>
      </c>
      <c r="C21" s="4"/>
      <c r="D21" s="4"/>
      <c r="E21" s="3">
        <f>COUNTIF(F9:F18,"lulus")</f>
        <v>5</v>
      </c>
    </row>
    <row r="22" spans="2:6" x14ac:dyDescent="0.25">
      <c r="B22" s="4" t="s">
        <v>19</v>
      </c>
      <c r="C22" s="4"/>
      <c r="D22" s="4"/>
      <c r="E22" s="3">
        <f>COUNTIF(F9:F18,"TIDAK LULUS")</f>
        <v>5</v>
      </c>
    </row>
    <row r="23" spans="2:6" x14ac:dyDescent="0.25">
      <c r="B23" s="4" t="s">
        <v>20</v>
      </c>
      <c r="C23" s="4"/>
      <c r="D23" s="4"/>
      <c r="E23" s="3">
        <f>COUNTIFS(D9:D18,"L",F9:F18,"lulus")</f>
        <v>3</v>
      </c>
    </row>
    <row r="24" spans="2:6" x14ac:dyDescent="0.25">
      <c r="B24" s="4" t="s">
        <v>21</v>
      </c>
      <c r="C24" s="4"/>
      <c r="D24" s="4"/>
      <c r="E24" s="3">
        <f>COUNTIFS(D9:D18,"L",F9:F18,"Tidak lulus")</f>
        <v>3</v>
      </c>
    </row>
    <row r="25" spans="2:6" x14ac:dyDescent="0.25">
      <c r="B25" s="4" t="s">
        <v>22</v>
      </c>
      <c r="C25" s="4"/>
      <c r="D25" s="4"/>
      <c r="E25" s="3">
        <f>COUNTIFS(D9:D18,"P",F9:F18,"LULUs")</f>
        <v>2</v>
      </c>
    </row>
    <row r="26" spans="2:6" x14ac:dyDescent="0.25">
      <c r="B26" s="4" t="s">
        <v>23</v>
      </c>
      <c r="C26" s="4"/>
      <c r="D26" s="4"/>
      <c r="E26" s="3">
        <f>COUNTIFS(D9:D18,"P",F9:F18,"tidak lulus")</f>
        <v>2</v>
      </c>
    </row>
  </sheetData>
  <mergeCells count="7">
    <mergeCell ref="B23:D23"/>
    <mergeCell ref="B25:D25"/>
    <mergeCell ref="B26:D26"/>
    <mergeCell ref="B24:D24"/>
    <mergeCell ref="B20:D20"/>
    <mergeCell ref="B21:D21"/>
    <mergeCell ref="B22:D2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dcterms:created xsi:type="dcterms:W3CDTF">2026-10-03T03:42:24Z</dcterms:created>
  <dcterms:modified xsi:type="dcterms:W3CDTF">2026-10-03T06:44:45Z</dcterms:modified>
</cp:coreProperties>
</file>